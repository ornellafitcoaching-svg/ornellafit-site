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encer" sheetId="1" state="visible" r:id="rId3"/>
    <sheet name="Mes calories" sheetId="2" state="visible" r:id="rId4"/>
    <sheet name="Programme 8 sem" sheetId="3" state="visible" r:id="rId5"/>
    <sheet name="Séances" sheetId="4" state="visible" r:id="rId6"/>
    <sheet name="Mon suivi" sheetId="5" state="visible" r:id="rId7"/>
    <sheet name="Repas" sheetId="6" state="visible" r:id="rId8"/>
    <sheet name="Aller plus loin" sheetId="7" state="visible" r:id="rId9"/>
    <sheet name="Listes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<sst xmlns="http://schemas.openxmlformats.org/spreadsheetml/2006/main" count="682" uniqueCount="350">
  <si>
    <t xml:space="preserve">ORNELLA FIT COACHING</t>
  </si>
  <si>
    <t xml:space="preserve">Planner Ventre &amp; Fessiers — 8 semaines</t>
  </si>
  <si>
    <t xml:space="preserve">Ton programme, tes calories et ton suivi, au même endroit.</t>
  </si>
  <si>
    <t xml:space="preserve">Comment l'utiliser (5 min)</t>
  </si>
  <si>
    <t xml:space="preserve">1.  Onglet « Mes calories » : remplis tes infos → tes calories et macros se calculent toutes seules.</t>
  </si>
  <si>
    <t xml:space="preserve">2.  Indique ta date de début : tout ton planning se date automatiquement.</t>
  </si>
  <si>
    <t xml:space="preserve">3.  Onglet « Programme 8 sem » : chaque jour, coche ✓ ta séance et tes habitudes (eau, pas, protéines, sommeil).</t>
  </si>
  <si>
    <t xml:space="preserve">4.  Onglet « Séances » : le détail de chaque entraînement, avec la progression phase par phase.</t>
  </si>
  <si>
    <t xml:space="preserve">5.  Onglet « Mon suivi » : 1 fois par semaine, même jour, même heure → poids + mensurations. Les graphiques bougent tout seuls.</t>
  </si>
  <si>
    <t xml:space="preserve">6.  Onglet « Repas » : compose ta journée type et vois si tu es dans ton objectif calories.</t>
  </si>
  <si>
    <t xml:space="preserve">📱 Sur téléphone : installe l'appli Google Sheets, c'est plus confortable pour cocher tes cases.</t>
  </si>
  <si>
    <t xml:space="preserve">Légende</t>
  </si>
  <si>
    <t xml:space="preserve">Case corail clair = à remplir par toi</t>
  </si>
  <si>
    <t xml:space="preserve">✓</t>
  </si>
  <si>
    <t xml:space="preserve">Menu déroulant : choisis ✓ quand c'est fait</t>
  </si>
  <si>
    <t xml:space="preserve">Les cases blanches se calculent toutes seules (ne pas effacer)</t>
  </si>
  <si>
    <t xml:space="preserve">Ta semaine type</t>
  </si>
  <si>
    <t xml:space="preserve">Jour 1</t>
  </si>
  <si>
    <t xml:space="preserve">A — Fessiers &amp; Jambes</t>
  </si>
  <si>
    <t xml:space="preserve">Jour 2</t>
  </si>
  <si>
    <t xml:space="preserve">B — Ventre &amp; Gainage</t>
  </si>
  <si>
    <t xml:space="preserve">Jour 3</t>
  </si>
  <si>
    <t xml:space="preserve">Marche active 30-45 min</t>
  </si>
  <si>
    <t xml:space="preserve">Jour 4</t>
  </si>
  <si>
    <t xml:space="preserve">C — Full body brûle-calories</t>
  </si>
  <si>
    <t xml:space="preserve">Jour 5</t>
  </si>
  <si>
    <t xml:space="preserve">D — Fessiers Sculpt</t>
  </si>
  <si>
    <t xml:space="preserve">Jour 6</t>
  </si>
  <si>
    <t xml:space="preserve">Marche + mobilité</t>
  </si>
  <si>
    <t xml:space="preserve">Jour 7</t>
  </si>
  <si>
    <t xml:space="preserve">Repos</t>
  </si>
  <si>
    <t xml:space="preserve">Important</t>
  </si>
  <si>
    <t xml:space="preserve">Ce planner est un outil d'organisation et de motivation, pas un avis médical. Les calories sont des estimations. Si tu es enceinte, en post-partum récent (ou diastasis), si tu as une pathologie, une blessure ou un historique de troubles alimentaires, demande l'avis d'un professionnel de santé avant de commencer. Écoute ton corps : douleur = stop.</t>
  </si>
  <si>
    <t xml:space="preserve">Créé par Ornella — coach sportive diplômée d'État (BPJEPS) · ornellafitcoaching.com</t>
  </si>
  <si>
    <t xml:space="preserve">Mes calories &amp; macros</t>
  </si>
  <si>
    <t xml:space="preserve">Remplis les cases corail. Tout le reste se calcule.</t>
  </si>
  <si>
    <t xml:space="preserve">1 · Mes infos</t>
  </si>
  <si>
    <t xml:space="preserve">Prénom</t>
  </si>
  <si>
    <t xml:space="preserve">Julie</t>
  </si>
  <si>
    <t xml:space="preserve">Date de début</t>
  </si>
  <si>
    <t xml:space="preserve">Mets la date de ton Jour 1 (ex : lundi prochain).</t>
  </si>
  <si>
    <t xml:space="preserve">Âge (ans)</t>
  </si>
  <si>
    <t xml:space="preserve">Poids (kg)</t>
  </si>
  <si>
    <t xml:space="preserve">kg</t>
  </si>
  <si>
    <t xml:space="preserve">Taille (cm)</t>
  </si>
  <si>
    <t xml:space="preserve">cm</t>
  </si>
  <si>
    <t xml:space="preserve">Niveau d'activité</t>
  </si>
  <si>
    <t xml:space="preserve">Légèrement active (1-3 séances/sem)</t>
  </si>
  <si>
    <t xml:space="preserve">Choisis dans la liste ▾</t>
  </si>
  <si>
    <t xml:space="preserve">Objectif</t>
  </si>
  <si>
    <t xml:space="preserve">Perte régulière (-15 %)</t>
  </si>
  <si>
    <t xml:space="preserve">2 · Mes résultats</t>
  </si>
  <si>
    <t xml:space="preserve">Métabolisme de base</t>
  </si>
  <si>
    <t xml:space="preserve">kcal</t>
  </si>
  <si>
    <t xml:space="preserve">Calories brûlées au repos (formule Mifflin-St Jeor).</t>
  </si>
  <si>
    <t xml:space="preserve">Dépense journalière estimée</t>
  </si>
  <si>
    <t xml:space="preserve">Métabolisme × niveau d'activité.</t>
  </si>
  <si>
    <t xml:space="preserve">🎯 Mon objectif calories / jour</t>
  </si>
  <si>
    <t xml:space="preserve">Jamais en dessous de ton métabolisme de base : on perd du gras, pas de l'énergie.</t>
  </si>
  <si>
    <t xml:space="preserve">Protéines / jour</t>
  </si>
  <si>
    <t xml:space="preserve">g</t>
  </si>
  <si>
    <t xml:space="preserve">1,8 g par kg : protège tes muscles et coupe la faim.</t>
  </si>
  <si>
    <t xml:space="preserve">Lipides / jour</t>
  </si>
  <si>
    <t xml:space="preserve">≈ 28 % des calories : indispensable pour tes hormones.</t>
  </si>
  <si>
    <t xml:space="preserve">Glucides / jour</t>
  </si>
  <si>
    <t xml:space="preserve">Le reste des calories : ton carburant pour les séances.</t>
  </si>
  <si>
    <t xml:space="preserve">Eau / jour</t>
  </si>
  <si>
    <t xml:space="preserve">L</t>
  </si>
  <si>
    <t xml:space="preserve">≈ 35 ml par kg de poids.</t>
  </si>
  <si>
    <t xml:space="preserve">Pas / jour</t>
  </si>
  <si>
    <t xml:space="preserve">pas</t>
  </si>
  <si>
    <t xml:space="preserve">Objectif simple et efficace au quotidien.</t>
  </si>
  <si>
    <t xml:space="preserve">💡 Astuce : ne change pas tes calories avant 2 semaines. Si ton tour de taille ne bouge pas après 3 semaines, passe à l'objectif suivant.</t>
  </si>
  <si>
    <t xml:space="preserve">Programme 8 semaines + suivi quotidien</t>
  </si>
  <si>
    <t xml:space="preserve">Chaque jour : choisis ✓ dans les cases de ce que tu as fait.</t>
  </si>
  <si>
    <t xml:space="preserve">Séances faites</t>
  </si>
  <si>
    <t xml:space="preserve">Progression programme</t>
  </si>
  <si>
    <t xml:space="preserve">Habitudes validées</t>
  </si>
  <si>
    <t xml:space="preserve">Sem.</t>
  </si>
  <si>
    <t xml:space="preserve">Phase</t>
  </si>
  <si>
    <t xml:space="preserve">Jour</t>
  </si>
  <si>
    <t xml:space="preserve">Date</t>
  </si>
  <si>
    <t xml:space="preserve">Séance du jour</t>
  </si>
  <si>
    <t xml:space="preserve">Durée</t>
  </si>
  <si>
    <t xml:space="preserve">✓ Séance</t>
  </si>
  <si>
    <t xml:space="preserve">💧 Eau</t>
  </si>
  <si>
    <t xml:space="preserve">👟 Pas</t>
  </si>
  <si>
    <t xml:space="preserve">🍗 Protéines</t>
  </si>
  <si>
    <t xml:space="preserve">😴 Sommeil 7h</t>
  </si>
  <si>
    <t xml:space="preserve">Score</t>
  </si>
  <si>
    <t xml:space="preserve">planned</t>
  </si>
  <si>
    <t xml:space="preserve">Fondation</t>
  </si>
  <si>
    <t xml:space="preserve">J1</t>
  </si>
  <si>
    <t xml:space="preserve">35 min</t>
  </si>
  <si>
    <t xml:space="preserve">J2</t>
  </si>
  <si>
    <t xml:space="preserve">25 min</t>
  </si>
  <si>
    <t xml:space="preserve">J3</t>
  </si>
  <si>
    <t xml:space="preserve">Marche active</t>
  </si>
  <si>
    <t xml:space="preserve">30-45 min</t>
  </si>
  <si>
    <t xml:space="preserve">J4</t>
  </si>
  <si>
    <t xml:space="preserve">30 min</t>
  </si>
  <si>
    <t xml:space="preserve">J5</t>
  </si>
  <si>
    <t xml:space="preserve">J6</t>
  </si>
  <si>
    <t xml:space="preserve">J7</t>
  </si>
  <si>
    <t xml:space="preserve">—</t>
  </si>
  <si>
    <t xml:space="preserve">Progression</t>
  </si>
  <si>
    <t xml:space="preserve">Intensification</t>
  </si>
  <si>
    <t xml:space="preserve">Détail des séances</t>
  </si>
  <si>
    <t xml:space="preserve">Phase 1 = semaines 1-2 · Phase 2 = semaines 3-5 · Phase 3 = semaines 6-8</t>
  </si>
  <si>
    <t xml:space="preserve">Échauffement — 5 min (avant chaque séance)</t>
  </si>
  <si>
    <t xml:space="preserve">2 tours, 30 s chacun : rotations de bras · montées de genoux · squats lents · fentes avec rotation · ponts fessiers · gainage sur les genoux</t>
  </si>
  <si>
    <t xml:space="preserve">A — Fessiers &amp; Jambes   ·   35 min</t>
  </si>
  <si>
    <t xml:space="preserve">Exercice</t>
  </si>
  <si>
    <t xml:space="preserve">Phase 1 (S1-2)</t>
  </si>
  <si>
    <t xml:space="preserve">Phase 2 (S3-5)</t>
  </si>
  <si>
    <t xml:space="preserve">Phase 3 (S6-8)</t>
  </si>
  <si>
    <t xml:space="preserve">Le conseil d'Ornella</t>
  </si>
  <si>
    <t xml:space="preserve">Pont fessier au sol</t>
  </si>
  <si>
    <t xml:space="preserve">3 × 15</t>
  </si>
  <si>
    <t xml:space="preserve">4 × 15 (pause 2 s en haut)</t>
  </si>
  <si>
    <t xml:space="preserve">4 × 12 sur 1 jambe / côté</t>
  </si>
  <si>
    <t xml:space="preserve">Pousse dans les talons, serre fort les fessiers en haut.</t>
  </si>
  <si>
    <t xml:space="preserve">Squat sumo</t>
  </si>
  <si>
    <t xml:space="preserve">3 × 12</t>
  </si>
  <si>
    <t xml:space="preserve">4 × 12 (descente en 3 s)</t>
  </si>
  <si>
    <t xml:space="preserve">4 × 15 + 10 pulses</t>
  </si>
  <si>
    <t xml:space="preserve">Pieds larges, pointes vers l'extérieur, genoux dans l'axe.</t>
  </si>
  <si>
    <t xml:space="preserve">Fentes arrière</t>
  </si>
  <si>
    <t xml:space="preserve">3 × 10 / jambe</t>
  </si>
  <si>
    <t xml:space="preserve">4 × 10 / jambe</t>
  </si>
  <si>
    <t xml:space="preserve">4 × 12 / jambe (avec charge)</t>
  </si>
  <si>
    <t xml:space="preserve">Buste légèrement penché = plus de fessiers.</t>
  </si>
  <si>
    <t xml:space="preserve">Abduction couchée sur le côté</t>
  </si>
  <si>
    <t xml:space="preserve">3 × 15 / côté</t>
  </si>
  <si>
    <t xml:space="preserve">3 × 20 / côté</t>
  </si>
  <si>
    <t xml:space="preserve">3 × 20 + élastique</t>
  </si>
  <si>
    <t xml:space="preserve">Monte lentement, pied légèrement tourné vers le bas.</t>
  </si>
  <si>
    <t xml:space="preserve">Donkey kicks</t>
  </si>
  <si>
    <t xml:space="preserve">4 × 15 / côté</t>
  </si>
  <si>
    <t xml:space="preserve">4 × 15 + élastique</t>
  </si>
  <si>
    <t xml:space="preserve">Dos plat, c'est la fesse qui pousse, pas le dos.</t>
  </si>
  <si>
    <t xml:space="preserve">Chaise contre le mur</t>
  </si>
  <si>
    <t xml:space="preserve">3 × 30 s</t>
  </si>
  <si>
    <t xml:space="preserve">3 × 45 s</t>
  </si>
  <si>
    <t xml:space="preserve">3 × 60 s</t>
  </si>
  <si>
    <t xml:space="preserve">Cuisses parallèles au sol, respire.</t>
  </si>
  <si>
    <t xml:space="preserve">Récup entre les séries</t>
  </si>
  <si>
    <t xml:space="preserve">60 s</t>
  </si>
  <si>
    <t xml:space="preserve">45 s</t>
  </si>
  <si>
    <t xml:space="preserve">B — Ventre &amp; Gainage   ·   25 min</t>
  </si>
  <si>
    <t xml:space="preserve">Dead bug</t>
  </si>
  <si>
    <t xml:space="preserve">3 × 10 / côté</t>
  </si>
  <si>
    <t xml:space="preserve">3 × 12 / côté</t>
  </si>
  <si>
    <t xml:space="preserve">4 × 12 / côté</t>
  </si>
  <si>
    <t xml:space="preserve">Bas du dos collé au sol du début à la fin.</t>
  </si>
  <si>
    <t xml:space="preserve">Planche sur les avant-bras</t>
  </si>
  <si>
    <t xml:space="preserve">3 × 20 s</t>
  </si>
  <si>
    <t xml:space="preserve">3 × 35 s</t>
  </si>
  <si>
    <t xml:space="preserve">3 × 50 s</t>
  </si>
  <si>
    <t xml:space="preserve">Nombril rentré, fessiers serrés, ne creuse pas.</t>
  </si>
  <si>
    <t xml:space="preserve">Crunch inversé</t>
  </si>
  <si>
    <t xml:space="preserve">3 × 10</t>
  </si>
  <si>
    <t xml:space="preserve">4 × 15</t>
  </si>
  <si>
    <t xml:space="preserve">Enroule le bassin, ne balance pas les jambes.</t>
  </si>
  <si>
    <t xml:space="preserve">Gainage latéral</t>
  </si>
  <si>
    <t xml:space="preserve">3 × 15 s / côté</t>
  </si>
  <si>
    <t xml:space="preserve">3 × 25 s / côté</t>
  </si>
  <si>
    <t xml:space="preserve">3 × 35 s / côté</t>
  </si>
  <si>
    <t xml:space="preserve">Genoux au sol si besoin, hanches bien hautes.</t>
  </si>
  <si>
    <t xml:space="preserve">Bird dog</t>
  </si>
  <si>
    <t xml:space="preserve">3 × 12 (pause 2 s)</t>
  </si>
  <si>
    <t xml:space="preserve">Bras et jambe opposés, le bassin ne bouge pas.</t>
  </si>
  <si>
    <t xml:space="preserve">Mountain climbers lents</t>
  </si>
  <si>
    <t xml:space="preserve">4 × 30 s</t>
  </si>
  <si>
    <t xml:space="preserve">Contrôle &gt; vitesse. Expire à chaque genou.</t>
  </si>
  <si>
    <t xml:space="preserve">40 s</t>
  </si>
  <si>
    <t xml:space="preserve">30 s</t>
  </si>
  <si>
    <t xml:space="preserve">C — Full body brûle-calories (circuit)   ·   30 min</t>
  </si>
  <si>
    <t xml:space="preserve">Format du circuit</t>
  </si>
  <si>
    <t xml:space="preserve">3 tours · 40 s effort / 20 s récup</t>
  </si>
  <si>
    <t xml:space="preserve">4 tours · 40 s / 20 s</t>
  </si>
  <si>
    <t xml:space="preserve">5 tours · 45 s / 15 s</t>
  </si>
  <si>
    <t xml:space="preserve">1 min de pause entre chaque tour.</t>
  </si>
  <si>
    <t xml:space="preserve">Squat</t>
  </si>
  <si>
    <t xml:space="preserve">Squat classique</t>
  </si>
  <si>
    <t xml:space="preserve">Squat + pause 1 s en bas</t>
  </si>
  <si>
    <t xml:space="preserve">Squat sauté (ou squat rapide)</t>
  </si>
  <si>
    <t xml:space="preserve">Poids dans les talons.</t>
  </si>
  <si>
    <t xml:space="preserve">Pompes</t>
  </si>
  <si>
    <t xml:space="preserve">Sur les genoux</t>
  </si>
  <si>
    <t xml:space="preserve">Sur les genoux / pieds (alterner)</t>
  </si>
  <si>
    <t xml:space="preserve">Sur les pieds</t>
  </si>
  <si>
    <t xml:space="preserve">Corps gainé en planche, coudes à 45°.</t>
  </si>
  <si>
    <t xml:space="preserve">Fentes alternées</t>
  </si>
  <si>
    <t xml:space="preserve">Fentes marchées lentes</t>
  </si>
  <si>
    <t xml:space="preserve">Fentes sautées (ou rapides)</t>
  </si>
  <si>
    <t xml:space="preserve">Genou arrière frôle le sol.</t>
  </si>
  <si>
    <t xml:space="preserve">Burpee sans saut</t>
  </si>
  <si>
    <t xml:space="preserve">Sans pompe</t>
  </si>
  <si>
    <t xml:space="preserve">Avec pompe genoux</t>
  </si>
  <si>
    <t xml:space="preserve">Avec saut</t>
  </si>
  <si>
    <t xml:space="preserve">Pose les mains, recule un pied après l'autre si besoin.</t>
  </si>
  <si>
    <t xml:space="preserve">Jumping jacks</t>
  </si>
  <si>
    <t xml:space="preserve">Step jacks (sans impact)</t>
  </si>
  <si>
    <t xml:space="preserve">Jumping jacks rapides</t>
  </si>
  <si>
    <t xml:space="preserve">Sans impact si post-partum ou voisins 😉</t>
  </si>
  <si>
    <t xml:space="preserve">Rowing (élastique ou bouteilles)</t>
  </si>
  <si>
    <t xml:space="preserve">Bouteilles d'eau</t>
  </si>
  <si>
    <t xml:space="preserve">Élastique / haltères légers</t>
  </si>
  <si>
    <t xml:space="preserve">Haltères + pause 1 s</t>
  </si>
  <si>
    <t xml:space="preserve">Tire les coudes vers les hanches, serre les omoplates.</t>
  </si>
  <si>
    <t xml:space="preserve">D — Fessiers Sculpt   ·   35 min</t>
  </si>
  <si>
    <t xml:space="preserve">Soulevé de terre jambes tendues</t>
  </si>
  <si>
    <t xml:space="preserve">4 × 12</t>
  </si>
  <si>
    <t xml:space="preserve">Haltères, sac à dos ou bidons. Dos plat, on pousse les fesses en arrière.</t>
  </si>
  <si>
    <t xml:space="preserve">Squat bulgare (pied arrière sur chaise)</t>
  </si>
  <si>
    <t xml:space="preserve">3 × 8 / jambe</t>
  </si>
  <si>
    <t xml:space="preserve">L'exercice n°1 pour les fessiers. Va doucement.</t>
  </si>
  <si>
    <t xml:space="preserve">Frog pumps</t>
  </si>
  <si>
    <t xml:space="preserve">3 × 20</t>
  </si>
  <si>
    <t xml:space="preserve">4 × 20</t>
  </si>
  <si>
    <t xml:space="preserve">4 × 25 + 10 pulses</t>
  </si>
  <si>
    <t xml:space="preserve">Plantes de pieds collées, genoux ouverts.</t>
  </si>
  <si>
    <t xml:space="preserve">Montée sur chaise</t>
  </si>
  <si>
    <t xml:space="preserve">3 × 12 / jambe</t>
  </si>
  <si>
    <t xml:space="preserve">4 × 12 / jambe</t>
  </si>
  <si>
    <t xml:space="preserve">Pousse dans le talon de la jambe du haut.</t>
  </si>
  <si>
    <t xml:space="preserve">Kickback debout (élastique)</t>
  </si>
  <si>
    <t xml:space="preserve">Sans élastique : fais-le à 4 pattes.</t>
  </si>
  <si>
    <t xml:space="preserve">Pulse squats</t>
  </si>
  <si>
    <t xml:space="preserve">3 × 40 s</t>
  </si>
  <si>
    <t xml:space="preserve">Petits mouvements en bas du squat : ça brûle = ça travaille 🔥</t>
  </si>
  <si>
    <t xml:space="preserve">Marche active &amp; mobilité</t>
  </si>
  <si>
    <t xml:space="preserve">Marche à allure soutenue (tu peux parler mais pas chanter). Jour 6 : + 10 min de mobilité (hanches, dos, ischios).</t>
  </si>
  <si>
    <t xml:space="preserve">Retour au calme — 5 min (après chaque séance)</t>
  </si>
  <si>
    <t xml:space="preserve">30 s chacun : étirement fessiers (figure 4) · ischios · fléchisseurs de hanche · posture de l'enfant · respiration profonde</t>
  </si>
  <si>
    <t xml:space="preserve">Mon suivi</t>
  </si>
  <si>
    <t xml:space="preserve">1 fois par semaine, même jour, le matin à jeun. Le tour de taille est ton meilleur indicateur !</t>
  </si>
  <si>
    <t xml:space="preserve">Semaine</t>
  </si>
  <si>
    <t xml:space="preserve">Tour de taille (cm)</t>
  </si>
  <si>
    <t xml:space="preserve">Hanches (cm)</t>
  </si>
  <si>
    <t xml:space="preserve">Cuisse (cm)</t>
  </si>
  <si>
    <t xml:space="preserve">Énergie /10</t>
  </si>
  <si>
    <t xml:space="preserve">Écart poids</t>
  </si>
  <si>
    <t xml:space="preserve">Écart taille</t>
  </si>
  <si>
    <t xml:space="preserve">Départ</t>
  </si>
  <si>
    <t xml:space="preserve">Semaine 1</t>
  </si>
  <si>
    <t xml:space="preserve">Semaine 2</t>
  </si>
  <si>
    <t xml:space="preserve">Semaine 3</t>
  </si>
  <si>
    <t xml:space="preserve">Semaine 4</t>
  </si>
  <si>
    <t xml:space="preserve">Semaine 5</t>
  </si>
  <si>
    <t xml:space="preserve">Semaine 6</t>
  </si>
  <si>
    <t xml:space="preserve">Semaine 7</t>
  </si>
  <si>
    <t xml:space="preserve">Semaine 8</t>
  </si>
  <si>
    <t xml:space="preserve">📸 Prends 3 photos (face, profil, dos) au départ, en semaine 4 et en semaine 8. Souvent, les photos montrent le changement avant la balance.</t>
  </si>
  <si>
    <t xml:space="preserve">Repas &amp; ma journée type</t>
  </si>
  <si>
    <t xml:space="preserve">Choisis tes repas dans les menus déroulants → le total se compare à ton objectif. Valeurs approximatives.</t>
  </si>
  <si>
    <t xml:space="preserve">Moment</t>
  </si>
  <si>
    <t xml:space="preserve">Mon choix</t>
  </si>
  <si>
    <t xml:space="preserve">Protéines (g)</t>
  </si>
  <si>
    <t xml:space="preserve">Petit-déjeuner</t>
  </si>
  <si>
    <t xml:space="preserve">Skyr, avoine &amp; fruits rouges</t>
  </si>
  <si>
    <t xml:space="preserve">Déjeuner</t>
  </si>
  <si>
    <t xml:space="preserve">Bowl poulet riz</t>
  </si>
  <si>
    <t xml:space="preserve">Dîner</t>
  </si>
  <si>
    <t xml:space="preserve">Wok de dinde</t>
  </si>
  <si>
    <t xml:space="preserve">Collation 1</t>
  </si>
  <si>
    <t xml:space="preserve">Skyr &amp; fruit</t>
  </si>
  <si>
    <t xml:space="preserve">Collation 2</t>
  </si>
  <si>
    <t xml:space="preserve">— Aucun —</t>
  </si>
  <si>
    <t xml:space="preserve">Total</t>
  </si>
  <si>
    <t xml:space="preserve">Mon objectif</t>
  </si>
  <si>
    <t xml:space="preserve">Il me reste</t>
  </si>
  <si>
    <t xml:space="preserve">Vert = tu es dans ton objectif. Corail = tu dépasses : remplace un repas ou une collation.</t>
  </si>
  <si>
    <t xml:space="preserve">Idées de repas</t>
  </si>
  <si>
    <t xml:space="preserve">Catégorie</t>
  </si>
  <si>
    <t xml:space="preserve">Repas</t>
  </si>
  <si>
    <t xml:space="preserve">Quantités</t>
  </si>
  <si>
    <t xml:space="preserve">150 g skyr + 40 g flocons d'avoine + 80 g fruits rouges</t>
  </si>
  <si>
    <t xml:space="preserve">Œufs brouillés &amp; avocat</t>
  </si>
  <si>
    <t xml:space="preserve">2 œufs + 1 tranche pain complet + ½ avocat</t>
  </si>
  <si>
    <t xml:space="preserve">Porridge banane</t>
  </si>
  <si>
    <t xml:space="preserve">40 g avoine + 250 ml lait écrémé + 1 banane</t>
  </si>
  <si>
    <t xml:space="preserve">Tartines saumon</t>
  </si>
  <si>
    <t xml:space="preserve">2 tranches pain complet + 60 g fromage frais 0 % + 50 g saumon fumé</t>
  </si>
  <si>
    <t xml:space="preserve">Smoothie protéiné</t>
  </si>
  <si>
    <t xml:space="preserve">250 ml lait d'amande + 1 banane + 30 g whey + 15 g beurre de cacahuète</t>
  </si>
  <si>
    <t xml:space="preserve">Pancakes 3 ingrédients</t>
  </si>
  <si>
    <t xml:space="preserve">1 œuf + 1 banane + 30 g flocons d'avoine</t>
  </si>
  <si>
    <t xml:space="preserve">120 g poulet cuit + 60 g riz cru + légumes + 1 c. à s. huile d'olive</t>
  </si>
  <si>
    <t xml:space="preserve">Salade quinoa thon</t>
  </si>
  <si>
    <t xml:space="preserve">50 g quinoa cru + 1 boîte thon naturel + crudités + 1 c. à s. huile</t>
  </si>
  <si>
    <t xml:space="preserve">Wrap dinde</t>
  </si>
  <si>
    <t xml:space="preserve">1 tortilla complète + 80 g dinde + crudités + 1 c. à s. fromage frais léger</t>
  </si>
  <si>
    <t xml:space="preserve">Saumon &amp; patate douce</t>
  </si>
  <si>
    <t xml:space="preserve">120 g saumon + 200 g patate douce + 200 g haricots verts</t>
  </si>
  <si>
    <t xml:space="preserve">Buddha bowl pois chiches</t>
  </si>
  <si>
    <t xml:space="preserve">150 g pois chiches cuits + 50 g quinoa cru + légumes rôtis + 1 c. à s. tahini</t>
  </si>
  <si>
    <t xml:space="preserve">Omelette légumes</t>
  </si>
  <si>
    <t xml:space="preserve">3 œufs + légumes + 1 tranche pain complet + salade</t>
  </si>
  <si>
    <t xml:space="preserve">Cabillaud &amp; légumes vapeur</t>
  </si>
  <si>
    <t xml:space="preserve">150 g cabillaud + 300 g légumes + 100 g pommes de terre + 1 c. à s. huile</t>
  </si>
  <si>
    <t xml:space="preserve">120 g dinde + légumes wok + 50 g nouilles de riz crues + sauce soja</t>
  </si>
  <si>
    <t xml:space="preserve">Soupe &amp; œufs durs</t>
  </si>
  <si>
    <t xml:space="preserve">400 ml soupe de légumes + 2 œufs durs + 1 tranche pain complet</t>
  </si>
  <si>
    <t xml:space="preserve">Chili con carne</t>
  </si>
  <si>
    <t xml:space="preserve">100 g bœuf 5 % + 100 g haricots rouges + tomates/poivrons + 50 g riz cru</t>
  </si>
  <si>
    <t xml:space="preserve">Curry de lentilles corail</t>
  </si>
  <si>
    <t xml:space="preserve">60 g lentilles crues + 100 ml lait de coco light + légumes</t>
  </si>
  <si>
    <t xml:space="preserve">Pizza tortilla maison</t>
  </si>
  <si>
    <t xml:space="preserve">1 tortilla + sauce tomate + 60 g mozzarella light + 2 tr. jambon + légumes</t>
  </si>
  <si>
    <t xml:space="preserve">Collation</t>
  </si>
  <si>
    <t xml:space="preserve">150 g skyr + 1 pomme</t>
  </si>
  <si>
    <t xml:space="preserve">Pomme &amp; beurre de cacahuète</t>
  </si>
  <si>
    <t xml:space="preserve">1 pomme + 15 g beurre de cacahuète</t>
  </si>
  <si>
    <t xml:space="preserve">Amandes</t>
  </si>
  <si>
    <t xml:space="preserve">30 g d'amandes</t>
  </si>
  <si>
    <t xml:space="preserve">Galettes de riz &amp; houmous</t>
  </si>
  <si>
    <t xml:space="preserve">2 galettes de riz + 30 g houmous</t>
  </si>
  <si>
    <t xml:space="preserve">Shaker whey</t>
  </si>
  <si>
    <t xml:space="preserve">30 g whey + eau</t>
  </si>
  <si>
    <t xml:space="preserve">Fromage blanc gourmand</t>
  </si>
  <si>
    <t xml:space="preserve">150 g fromage blanc 0 % + cannelle + 10 g chocolat noir</t>
  </si>
  <si>
    <t xml:space="preserve">Et après ?</t>
  </si>
  <si>
    <t xml:space="preserve">⭐ Tu aimes ton planner ?</t>
  </si>
  <si>
    <t xml:space="preserve">Laisse-moi un avis sur Etsy : ça m'aide énormément et ça aide d'autres femmes à se lancer. Merci 💛</t>
  </si>
  <si>
    <t xml:space="preserve">🎯 Tu veux aller plus vite, avec un programme 100 % pour toi ?</t>
  </si>
  <si>
    <t xml:space="preserve">Je suis Ornella, coach sportive diplômée d'État. J'accompagne les femmes à distance ou en présentiel (Essonne / Hauts-de-Seine) : programme sur-mesure, nutrition, bilans réguliers et suivi WhatsApp.</t>
  </si>
  <si>
    <t xml:space="preserve">👉 Découvre mes accompagnements</t>
  </si>
  <si>
    <t xml:space="preserve">ornellafitcoaching.com</t>
  </si>
  <si>
    <t xml:space="preserve">📲 Suis-moi pour des conseils chaque semaine</t>
  </si>
  <si>
    <t xml:space="preserve">TikTok : @coachornella</t>
  </si>
  <si>
    <t xml:space="preserve">activity</t>
  </si>
  <si>
    <t xml:space="preserve">factor</t>
  </si>
  <si>
    <t xml:space="preserve">goal</t>
  </si>
  <si>
    <t xml:space="preserve">deficit</t>
  </si>
  <si>
    <t xml:space="preserve">weight_kg</t>
  </si>
  <si>
    <t xml:space="preserve">height_cm</t>
  </si>
  <si>
    <t xml:space="preserve">w_unit</t>
  </si>
  <si>
    <t xml:space="preserve">h_unit</t>
  </si>
  <si>
    <t xml:space="preserve">cat0</t>
  </si>
  <si>
    <t xml:space="preserve">cat1</t>
  </si>
  <si>
    <t xml:space="preserve">cat2</t>
  </si>
  <si>
    <t xml:space="preserve">cat3</t>
  </si>
  <si>
    <t xml:space="preserve">Sédentaire (bureau, peu de marche)</t>
  </si>
  <si>
    <t xml:space="preserve">Perte douce (-10 %)</t>
  </si>
  <si>
    <t xml:space="preserve">Active (3-5 séances/sem)</t>
  </si>
  <si>
    <t xml:space="preserve">Perte active (-20 %)</t>
  </si>
  <si>
    <t xml:space="preserve">Très active (6-7 séances/sem ou métier physique)</t>
  </si>
  <si>
    <t xml:space="preserve">Maintien (0 %)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</si>
</sst>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#,##0"/>
    <numFmt numFmtId="167" formatCode="0.0"/>
    <numFmt numFmtId="168" formatCode="0%"/>
    <numFmt numFmtId="169" formatCode="ddd\ dd/mm"/>
    <numFmt numFmtId="170" formatCode="0"/>
    <numFmt numFmtId="171" formatCode="\+0.0;\-0.0;0"/>
    <numFmt numFmtId="172" formatCode="General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8634A"/>
      <name val="Arial"/>
      <family val="0"/>
      <charset val="1"/>
    </font>
    <font>
      <b val="true"/>
      <sz val="26"/>
      <color rgb="FF1B3A2D"/>
      <name val="Playfair Display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1B3A2D"/>
      <name val="Arial"/>
      <family val="0"/>
      <charset val="1"/>
    </font>
    <font>
      <b val="true"/>
      <sz val="10"/>
      <color rgb="FF1B3A2D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8A8A8A"/>
      <name val="Arial"/>
      <family val="0"/>
      <charset val="1"/>
    </font>
    <font>
      <b val="true"/>
      <sz val="9"/>
      <color rgb="FFE8634A"/>
      <name val="Arial"/>
      <family val="0"/>
      <charset val="1"/>
    </font>
    <font>
      <b val="true"/>
      <sz val="22"/>
      <color rgb="FF1B3A2D"/>
      <name val="Playfair Display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i val="true"/>
      <sz val="9"/>
      <color rgb="FF8A8A8A"/>
      <name val="Arial"/>
      <family val="0"/>
      <charset val="1"/>
    </font>
    <font>
      <sz val="10"/>
      <color rgb="FF8A8A8A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12"/>
      <color rgb="FF1B3A2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E8634A"/>
      <name val="Arial"/>
      <family val="0"/>
      <charset val="1"/>
    </font>
    <font>
      <b val="true"/>
      <sz val="16"/>
      <color rgb="FFE863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B3A2D"/>
      <name val="Arial"/>
      <family val="0"/>
      <charset val="1"/>
    </font>
    <font>
      <b val="true"/>
      <sz val="18"/>
      <color rgb="FFE8634A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1B3A2D"/>
      <name val="Arial"/>
      <family val="0"/>
      <charset val="1"/>
    </font>
    <font>
      <sz val="9"/>
      <color rgb="FF8A8A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9"/>
      <color rgb="FF8A8A8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22222"/>
      <name val="Arial"/>
      <family val="0"/>
      <charset val="1"/>
    </font>
    <font>
      <b val="true"/>
      <sz val="12"/>
      <color rgb="FFE8634A"/>
      <name val="Arial"/>
      <family val="0"/>
      <charset val="1"/>
    </font>
    <font>
      <sz val="8"/>
      <color rgb="FF8A8A8A"/>
      <name val="Arial"/>
      <family val="0"/>
      <charset val="1"/>
    </font>
    <font>
      <sz val="9"/>
      <color rgb="FFE8634A"/>
      <name val="Arial"/>
      <family val="0"/>
      <charset val="1"/>
    </font>
    <font>
      <b val="true"/>
      <sz val="13"/>
      <color rgb="FF1B3A2D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color rgb="FFE8634A"/>
      <name val="Arial"/>
      <family val="0"/>
      <charset val="1"/>
    </font>
    <font>
      <b val="true"/>
      <sz val="14"/>
      <color rgb="FFE8634A"/>
      <name val="Arial"/>
      <family val="0"/>
      <charset val="1"/>
    </font>
    <font>
      <b val="true"/>
      <sz val="10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2D"/>
        <bgColor rgb="FF333333"/>
      </patternFill>
    </fill>
    <fill>
      <patternFill patternType="solid">
        <fgColor rgb="FFFBE3DC"/>
        <bgColor rgb="FFF5EFE6"/>
      </patternFill>
    </fill>
    <fill>
      <patternFill patternType="solid">
        <fgColor rgb="FFFFFFFF"/>
        <bgColor rgb="FFF5EFE6"/>
      </patternFill>
    </fill>
    <fill>
      <patternFill patternType="solid">
        <fgColor rgb="FFF5EFE6"/>
        <bgColor rgb="FFFBE3DC"/>
      </patternFill>
    </fill>
    <fill>
      <patternFill patternType="solid">
        <fgColor rgb="FFE8634A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E8634A"/>
      </bottom>
      <diagonal/>
    </border>
    <border diagonalUp="false" diagonalDown="false">
      <left style="thin">
        <color rgb="FFE2D8CC"/>
      </left>
      <right style="thin">
        <color rgb="FFE2D8CC"/>
      </right>
      <top style="thin">
        <color rgb="FFE2D8CC"/>
      </top>
      <bottom style="thin">
        <color rgb="FFE2D8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8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42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8DF"/>
        </patternFill>
      </fill>
    </dxf>
    <dxf>
      <font>
        <b val="1"/>
        <color rgb="FFE8634A"/>
      </font>
      <fill>
        <patternFill>
          <bgColor rgb="FFFBE3DC"/>
        </patternFill>
      </fill>
    </dxf>
    <dxf>
      <font>
        <b val="1"/>
        <color rgb="FF1B3A2D"/>
      </font>
      <fill>
        <patternFill>
          <bgColor rgb="FFD8E8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5EF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8DF"/>
      <rgbColor rgb="FFFBE3DC"/>
      <rgbColor rgb="FF99CCFF"/>
      <rgbColor rgb="FFFF99CC"/>
      <rgbColor rgb="FFCC99FF"/>
      <rgbColor rgb="FFE2D8CC"/>
      <rgbColor rgb="FF3366FF"/>
      <rgbColor rgb="FF33CCCC"/>
      <rgbColor rgb="FF99CC00"/>
      <rgbColor rgb="FFFFCC00"/>
      <rgbColor rgb="FFFF9900"/>
      <rgbColor rgb="FFE8634A"/>
      <rgbColor rgb="FF555555"/>
      <rgbColor rgb="FF8A8A8A"/>
      <rgbColor rgb="FF003366"/>
      <rgbColor rgb="FF339966"/>
      <rgbColor rgb="FF1B3A2D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 poids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e8634a"/>
            </a:solidFill>
            <a:ln w="28080">
              <a:solidFill>
                <a:srgbClr val="e8634a"/>
              </a:solidFill>
              <a:round/>
            </a:ln>
          </c:spPr>
          <c:marker>
            <c:symbol val="circle"/>
            <c:size val="7"/>
            <c:spPr>
              <a:solidFill>
                <a:srgbClr val="e863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 suivi'!$B$8:$B$16</c:f>
              <c:strCache>
                <c:ptCount val="9"/>
                <c:pt idx="0">
                  <c:v>Départ</c:v>
                </c:pt>
                <c:pt idx="1">
                  <c:v>Semaine 1</c:v>
                </c:pt>
                <c:pt idx="2">
                  <c:v>Semaine 2</c:v>
                </c:pt>
                <c:pt idx="3">
                  <c:v>Semaine 3</c:v>
                </c:pt>
                <c:pt idx="4">
                  <c:v>Semaine 4</c:v>
                </c:pt>
                <c:pt idx="5">
                  <c:v>Semaine 5</c:v>
                </c:pt>
                <c:pt idx="6">
                  <c:v>Semaine 6</c:v>
                </c:pt>
                <c:pt idx="7">
                  <c:v>Semaine 7</c:v>
                </c:pt>
                <c:pt idx="8">
                  <c:v>Semaine 8</c:v>
                </c:pt>
              </c:strCache>
            </c:strRef>
          </c:cat>
          <c:val>
            <c:numRef>
              <c:f>'Mon suivi'!$D$8:$D$16</c:f>
              <c:numCache>
                <c:formatCode>General</c:formatCode>
                <c:ptCount val="9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739096"/>
        <c:axId val="51477491"/>
      </c:lineChart>
      <c:catAx>
        <c:axId val="4573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77491"/>
        <c:crosses val="autoZero"/>
        <c:auto val="1"/>
        <c:lblAlgn val="ctr"/>
        <c:lblOffset val="100"/>
        <c:noMultiLvlLbl val="0"/>
      </c:catAx>
      <c:valAx>
        <c:axId val="514774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39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 tour de taille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b3a2d"/>
            </a:solidFill>
            <a:ln w="28080">
              <a:solidFill>
                <a:srgbClr val="1b3a2d"/>
              </a:solidFill>
              <a:round/>
            </a:ln>
          </c:spPr>
          <c:marker>
            <c:symbol val="circle"/>
            <c:size val="7"/>
            <c:spPr>
              <a:solidFill>
                <a:srgbClr val="1b3a2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 suivi'!$B$8:$B$16</c:f>
              <c:strCache>
                <c:ptCount val="9"/>
                <c:pt idx="0">
                  <c:v>Départ</c:v>
                </c:pt>
                <c:pt idx="1">
                  <c:v>Semaine 1</c:v>
                </c:pt>
                <c:pt idx="2">
                  <c:v>Semaine 2</c:v>
                </c:pt>
                <c:pt idx="3">
                  <c:v>Semaine 3</c:v>
                </c:pt>
                <c:pt idx="4">
                  <c:v>Semaine 4</c:v>
                </c:pt>
                <c:pt idx="5">
                  <c:v>Semaine 5</c:v>
                </c:pt>
                <c:pt idx="6">
                  <c:v>Semaine 6</c:v>
                </c:pt>
                <c:pt idx="7">
                  <c:v>Semaine 7</c:v>
                </c:pt>
                <c:pt idx="8">
                  <c:v>Semaine 8</c:v>
                </c:pt>
              </c:strCache>
            </c:strRef>
          </c:cat>
          <c:val>
            <c:numRef>
              <c:f>'Mon suivi'!$E$8:$E$16</c:f>
              <c:numCache>
                <c:formatCode>General</c:formatCode>
                <c:ptCount val="9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345012"/>
        <c:axId val="52250448"/>
      </c:lineChart>
      <c:catAx>
        <c:axId val="823450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50448"/>
        <c:crosses val="autoZero"/>
        <c:auto val="1"/>
        <c:lblAlgn val="ctr"/>
        <c:lblOffset val="100"/>
        <c:noMultiLvlLbl val="0"/>
      </c:catAx>
      <c:valAx>
        <c:axId val="5225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450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5</xdr:col>
      <xdr:colOff>724680</xdr:colOff>
      <xdr:row>32</xdr:row>
      <xdr:rowOff>43200</xdr:rowOff>
    </xdr:to>
    <xdr:graphicFrame>
      <xdr:nvGraphicFramePr>
        <xdr:cNvPr id="0" name="Chart 1"/>
        <xdr:cNvGraphicFramePr/>
      </xdr:nvGraphicFramePr>
      <xdr:xfrm>
        <a:off x="211320" y="46864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11</xdr:col>
      <xdr:colOff>254520</xdr:colOff>
      <xdr:row>32</xdr:row>
      <xdr:rowOff>43200</xdr:rowOff>
    </xdr:to>
    <xdr:graphicFrame>
      <xdr:nvGraphicFramePr>
        <xdr:cNvPr id="1" name="Chart 2"/>
        <xdr:cNvGraphicFramePr/>
      </xdr:nvGraphicFramePr>
      <xdr:xfrm>
        <a:off x="4722480" y="46864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ornellafitcoaching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34A"/>
    <pageSetUpPr fitToPage="true"/>
  </sheetPr>
  <dimension ref="B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3.5" hidden="false" customHeight="true" outlineLevel="0" collapsed="false"/>
    <row r="2" customFormat="false" ht="15" hidden="false" customHeight="false" outlineLevel="0" collapsed="false">
      <c r="B2" s="1" t="s">
        <v>0</v>
      </c>
    </row>
    <row r="3" customFormat="false" ht="39.75" hidden="false" customHeight="tru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/>
      <c r="C5" s="4"/>
    </row>
    <row r="7" customFormat="false" ht="21.75" hidden="false" customHeight="true" outlineLevel="0" collapsed="false">
      <c r="B7" s="5" t="s">
        <v>3</v>
      </c>
      <c r="C7" s="6"/>
    </row>
    <row r="8" customFormat="false" ht="21.75" hidden="false" customHeight="true" outlineLevel="0" collapsed="false">
      <c r="B8" s="7" t="s">
        <v>4</v>
      </c>
      <c r="C8" s="7"/>
    </row>
    <row r="9" customFormat="false" ht="21.75" hidden="false" customHeight="true" outlineLevel="0" collapsed="false">
      <c r="B9" s="7" t="s">
        <v>5</v>
      </c>
      <c r="C9" s="7"/>
    </row>
    <row r="10" customFormat="false" ht="21.75" hidden="false" customHeight="true" outlineLevel="0" collapsed="false">
      <c r="B10" s="7" t="s">
        <v>6</v>
      </c>
      <c r="C10" s="7"/>
    </row>
    <row r="11" customFormat="false" ht="21.75" hidden="false" customHeight="true" outlineLevel="0" collapsed="false">
      <c r="B11" s="7" t="s">
        <v>7</v>
      </c>
      <c r="C11" s="7"/>
    </row>
    <row r="12" customFormat="false" ht="21.75" hidden="false" customHeight="true" outlineLevel="0" collapsed="false">
      <c r="B12" s="7" t="s">
        <v>8</v>
      </c>
      <c r="C12" s="7"/>
    </row>
    <row r="13" customFormat="false" ht="21.75" hidden="false" customHeight="true" outlineLevel="0" collapsed="false">
      <c r="B13" s="7" t="s">
        <v>9</v>
      </c>
      <c r="C13" s="7"/>
    </row>
    <row r="14" customFormat="false" ht="15" hidden="false" customHeight="false" outlineLevel="0" collapsed="false">
      <c r="B14" s="8" t="s">
        <v>10</v>
      </c>
      <c r="C14" s="8"/>
    </row>
    <row r="16" customFormat="false" ht="21.75" hidden="false" customHeight="true" outlineLevel="0" collapsed="false">
      <c r="B16" s="5" t="s">
        <v>11</v>
      </c>
      <c r="C16" s="6"/>
    </row>
    <row r="17" customFormat="false" ht="19.5" hidden="false" customHeight="true" outlineLevel="0" collapsed="false">
      <c r="B17" s="9"/>
      <c r="C17" s="10" t="s">
        <v>12</v>
      </c>
    </row>
    <row r="18" customFormat="false" ht="19.5" hidden="false" customHeight="true" outlineLevel="0" collapsed="false">
      <c r="B18" s="9" t="s">
        <v>13</v>
      </c>
      <c r="C18" s="10" t="s">
        <v>14</v>
      </c>
    </row>
    <row r="19" customFormat="false" ht="19.5" hidden="false" customHeight="true" outlineLevel="0" collapsed="false">
      <c r="B19" s="11"/>
      <c r="C19" s="10" t="s">
        <v>15</v>
      </c>
    </row>
    <row r="21" customFormat="false" ht="21.75" hidden="false" customHeight="true" outlineLevel="0" collapsed="false">
      <c r="B21" s="5" t="s">
        <v>16</v>
      </c>
      <c r="C21" s="6"/>
    </row>
    <row r="22" customFormat="false" ht="15" hidden="false" customHeight="false" outlineLevel="0" collapsed="false">
      <c r="B22" s="12" t="s">
        <v>17</v>
      </c>
      <c r="C22" s="13" t="s">
        <v>18</v>
      </c>
    </row>
    <row r="23" customFormat="false" ht="15" hidden="false" customHeight="false" outlineLevel="0" collapsed="false">
      <c r="B23" s="12" t="s">
        <v>19</v>
      </c>
      <c r="C23" s="13" t="s">
        <v>20</v>
      </c>
    </row>
    <row r="24" customFormat="false" ht="15" hidden="false" customHeight="false" outlineLevel="0" collapsed="false">
      <c r="B24" s="12" t="s">
        <v>21</v>
      </c>
      <c r="C24" s="13" t="s">
        <v>22</v>
      </c>
    </row>
    <row r="25" customFormat="false" ht="15" hidden="false" customHeight="false" outlineLevel="0" collapsed="false">
      <c r="B25" s="12" t="s">
        <v>23</v>
      </c>
      <c r="C25" s="13" t="s">
        <v>24</v>
      </c>
    </row>
    <row r="26" customFormat="false" ht="15" hidden="false" customHeight="false" outlineLevel="0" collapsed="false">
      <c r="B26" s="12" t="s">
        <v>25</v>
      </c>
      <c r="C26" s="13" t="s">
        <v>26</v>
      </c>
    </row>
    <row r="27" customFormat="false" ht="15" hidden="false" customHeight="false" outlineLevel="0" collapsed="false">
      <c r="B27" s="12" t="s">
        <v>27</v>
      </c>
      <c r="C27" s="13" t="s">
        <v>28</v>
      </c>
    </row>
    <row r="28" customFormat="false" ht="15" hidden="false" customHeight="false" outlineLevel="0" collapsed="false">
      <c r="B28" s="12" t="s">
        <v>29</v>
      </c>
      <c r="C28" s="13" t="s">
        <v>30</v>
      </c>
    </row>
    <row r="30" customFormat="false" ht="21.75" hidden="false" customHeight="true" outlineLevel="0" collapsed="false">
      <c r="B30" s="14" t="s">
        <v>31</v>
      </c>
      <c r="C30" s="15"/>
    </row>
    <row r="31" customFormat="false" ht="57.75" hidden="false" customHeight="true" outlineLevel="0" collapsed="false">
      <c r="B31" s="16" t="s">
        <v>32</v>
      </c>
      <c r="C31" s="16"/>
    </row>
    <row r="33" customFormat="false" ht="15" hidden="false" customHeight="false" outlineLevel="0" collapsed="false">
      <c r="B33" s="17" t="s">
        <v>33</v>
      </c>
      <c r="C33" s="17"/>
    </row>
  </sheetData>
  <mergeCells count="9">
    <mergeCell ref="B8:C8"/>
    <mergeCell ref="B9:C9"/>
    <mergeCell ref="B10:C10"/>
    <mergeCell ref="B11:C11"/>
    <mergeCell ref="B12:C12"/>
    <mergeCell ref="B13:C13"/>
    <mergeCell ref="B14:C14"/>
    <mergeCell ref="B31:C31"/>
    <mergeCell ref="B33:C3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2D"/>
    <pageSetUpPr fitToPage="tru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9.75" hidden="false" customHeight="true" outlineLevel="0" collapsed="false"/>
    <row r="2" customFormat="false" ht="15" hidden="false" customHeight="false" outlineLevel="0" collapsed="false">
      <c r="B2" s="18" t="s">
        <v>0</v>
      </c>
    </row>
    <row r="3" customFormat="false" ht="33.75" hidden="false" customHeight="true" outlineLevel="0" collapsed="false">
      <c r="B3" s="19" t="s">
        <v>34</v>
      </c>
    </row>
    <row r="4" customFormat="false" ht="15" hidden="false" customHeight="false" outlineLevel="0" collapsed="false">
      <c r="B4" s="20" t="s">
        <v>35</v>
      </c>
    </row>
    <row r="5" customFormat="false" ht="15" hidden="false" customHeight="false" outlineLevel="0" collapsed="false">
      <c r="B5" s="4"/>
      <c r="C5" s="4"/>
      <c r="D5" s="4"/>
      <c r="E5" s="4"/>
    </row>
    <row r="7" customFormat="false" ht="21.75" hidden="false" customHeight="true" outlineLevel="0" collapsed="false">
      <c r="B7" s="5" t="s">
        <v>36</v>
      </c>
      <c r="C7" s="6"/>
      <c r="D7" s="6"/>
      <c r="E7" s="6"/>
    </row>
    <row r="8" customFormat="false" ht="19.5" hidden="false" customHeight="true" outlineLevel="0" collapsed="false">
      <c r="B8" s="21" t="s">
        <v>37</v>
      </c>
      <c r="C8" s="22" t="s">
        <v>38</v>
      </c>
    </row>
    <row r="9" customFormat="false" ht="19.5" hidden="false" customHeight="true" outlineLevel="0" collapsed="false">
      <c r="B9" s="21" t="s">
        <v>39</v>
      </c>
      <c r="C9" s="23" t="n">
        <v>46300</v>
      </c>
      <c r="E9" s="24" t="s">
        <v>40</v>
      </c>
    </row>
    <row r="10" customFormat="false" ht="19.5" hidden="false" customHeight="true" outlineLevel="0" collapsed="false">
      <c r="B10" s="21" t="s">
        <v>41</v>
      </c>
      <c r="C10" s="22" t="n">
        <v>34</v>
      </c>
    </row>
    <row r="11" customFormat="false" ht="19.5" hidden="false" customHeight="true" outlineLevel="0" collapsed="false">
      <c r="B11" s="21" t="s">
        <v>42</v>
      </c>
      <c r="C11" s="22" t="n">
        <v>72</v>
      </c>
      <c r="D11" s="25" t="s">
        <v>43</v>
      </c>
    </row>
    <row r="12" customFormat="false" ht="19.5" hidden="false" customHeight="true" outlineLevel="0" collapsed="false">
      <c r="B12" s="21" t="s">
        <v>44</v>
      </c>
      <c r="C12" s="22" t="n">
        <v>165</v>
      </c>
      <c r="D12" s="25" t="s">
        <v>45</v>
      </c>
    </row>
    <row r="13" customFormat="false" ht="30" hidden="false" customHeight="true" outlineLevel="0" collapsed="false">
      <c r="B13" s="21" t="s">
        <v>46</v>
      </c>
      <c r="C13" s="26" t="s">
        <v>47</v>
      </c>
      <c r="E13" s="24" t="s">
        <v>48</v>
      </c>
    </row>
    <row r="14" customFormat="false" ht="19.5" hidden="false" customHeight="true" outlineLevel="0" collapsed="false">
      <c r="B14" s="21" t="s">
        <v>49</v>
      </c>
      <c r="C14" s="27" t="s">
        <v>50</v>
      </c>
      <c r="E14" s="24" t="s">
        <v>48</v>
      </c>
    </row>
    <row r="16" customFormat="false" ht="21.75" hidden="false" customHeight="true" outlineLevel="0" collapsed="false">
      <c r="B16" s="5" t="s">
        <v>51</v>
      </c>
      <c r="C16" s="6"/>
      <c r="D16" s="6"/>
      <c r="E16" s="6"/>
    </row>
    <row r="17" customFormat="false" ht="21.75" hidden="false" customHeight="true" outlineLevel="0" collapsed="false">
      <c r="B17" s="21" t="s">
        <v>52</v>
      </c>
      <c r="C17" s="28" t="n">
        <f aca="false">IF(AND(C10&lt;&gt;"",C11&lt;&gt;"",C12&lt;&gt;"",C13&lt;&gt;"",C14&lt;&gt;""),ROUND((10*Listes!$H$3+6.25*Listes!$I$3-5*C10-161),0),"")</f>
        <v>1420</v>
      </c>
      <c r="D17" s="25" t="s">
        <v>53</v>
      </c>
      <c r="E17" s="29" t="s">
        <v>54</v>
      </c>
    </row>
    <row r="18" customFormat="false" ht="21.75" hidden="false" customHeight="true" outlineLevel="0" collapsed="false">
      <c r="B18" s="21" t="s">
        <v>55</v>
      </c>
      <c r="C18" s="28" t="n">
        <f aca="false">IF(AND(C10&lt;&gt;"",C11&lt;&gt;"",C12&lt;&gt;"",C13&lt;&gt;"",C14&lt;&gt;""),ROUND(C17*INDEX(Listes!$C$3:$C$6,MATCH(C13,Listes!$B$3:$B$6,0)),0),"")</f>
        <v>1953</v>
      </c>
      <c r="D18" s="25" t="s">
        <v>53</v>
      </c>
      <c r="E18" s="29" t="s">
        <v>56</v>
      </c>
    </row>
    <row r="19" customFormat="false" ht="30" hidden="false" customHeight="true" outlineLevel="0" collapsed="false">
      <c r="B19" s="30" t="s">
        <v>57</v>
      </c>
      <c r="C19" s="31" t="n">
        <f aca="false">IF(AND(C10&lt;&gt;"",C11&lt;&gt;"",C12&lt;&gt;"",C13&lt;&gt;"",C14&lt;&gt;""),ROUND(MAX(C18*(1-INDEX(Listes!$F$3:$F$6,MATCH(C14,Listes!$E$3:$E$6,0))),C17),-1),"")</f>
        <v>1660</v>
      </c>
      <c r="D19" s="32" t="s">
        <v>53</v>
      </c>
      <c r="E19" s="33" t="s">
        <v>58</v>
      </c>
    </row>
    <row r="20" customFormat="false" ht="21.75" hidden="false" customHeight="true" outlineLevel="0" collapsed="false">
      <c r="B20" s="21" t="s">
        <v>59</v>
      </c>
      <c r="C20" s="28" t="n">
        <f aca="false">IF(AND(C10&lt;&gt;"",C11&lt;&gt;"",C12&lt;&gt;"",C13&lt;&gt;"",C14&lt;&gt;""),ROUND(1.8*Listes!$H$3,0),"")</f>
        <v>130</v>
      </c>
      <c r="D20" s="25" t="s">
        <v>60</v>
      </c>
      <c r="E20" s="29" t="s">
        <v>61</v>
      </c>
    </row>
    <row r="21" customFormat="false" ht="21.75" hidden="false" customHeight="true" outlineLevel="0" collapsed="false">
      <c r="B21" s="21" t="s">
        <v>62</v>
      </c>
      <c r="C21" s="28" t="n">
        <f aca="false">IF(AND(C10&lt;&gt;"",C11&lt;&gt;"",C12&lt;&gt;"",C13&lt;&gt;"",C14&lt;&gt;""),ROUND(C19*0.28/9,0),"")</f>
        <v>52</v>
      </c>
      <c r="D21" s="25" t="s">
        <v>60</v>
      </c>
      <c r="E21" s="29" t="s">
        <v>63</v>
      </c>
    </row>
    <row r="22" customFormat="false" ht="21.75" hidden="false" customHeight="true" outlineLevel="0" collapsed="false">
      <c r="B22" s="21" t="s">
        <v>64</v>
      </c>
      <c r="C22" s="28" t="n">
        <f aca="false">IF(AND(C10&lt;&gt;"",C11&lt;&gt;"",C12&lt;&gt;"",C13&lt;&gt;"",C14&lt;&gt;""),ROUND(MAX(C19-C20*4-C21*9,0)/4,0),"")</f>
        <v>168</v>
      </c>
      <c r="D22" s="25" t="s">
        <v>60</v>
      </c>
      <c r="E22" s="29" t="s">
        <v>65</v>
      </c>
    </row>
    <row r="23" customFormat="false" ht="21.75" hidden="false" customHeight="true" outlineLevel="0" collapsed="false">
      <c r="B23" s="21" t="s">
        <v>66</v>
      </c>
      <c r="C23" s="34" t="n">
        <f aca="false">IF(AND(C10&lt;&gt;"",C11&lt;&gt;"",C12&lt;&gt;"",C13&lt;&gt;"",C14&lt;&gt;""),ROUND(Listes!$H$3*0.035,1),"")</f>
        <v>2.5</v>
      </c>
      <c r="D23" s="25" t="s">
        <v>67</v>
      </c>
      <c r="E23" s="29" t="s">
        <v>68</v>
      </c>
    </row>
    <row r="24" customFormat="false" ht="21.75" hidden="false" customHeight="true" outlineLevel="0" collapsed="false">
      <c r="B24" s="21" t="s">
        <v>69</v>
      </c>
      <c r="C24" s="28" t="n">
        <v>8000</v>
      </c>
      <c r="D24" s="25" t="s">
        <v>70</v>
      </c>
      <c r="E24" s="29" t="s">
        <v>71</v>
      </c>
    </row>
    <row r="26" customFormat="false" ht="33.75" hidden="false" customHeight="true" outlineLevel="0" collapsed="false">
      <c r="B26" s="35" t="s">
        <v>72</v>
      </c>
      <c r="C26" s="35"/>
      <c r="D26" s="35"/>
      <c r="E26" s="35"/>
    </row>
  </sheetData>
  <mergeCells count="1">
    <mergeCell ref="B26:E26"/>
  </mergeCells>
  <dataValidations count="2">
    <dataValidation allowBlank="true" errorStyle="stop" operator="between" showDropDown="false" showErrorMessage="false" showInputMessage="false" sqref="C13" type="list">
      <formula1>Listes!$B$3:$B$6</formula1>
      <formula2>0</formula2>
    </dataValidation>
    <dataValidation allowBlank="true" errorStyle="stop" operator="between" showDropDown="false" showErrorMessage="false" showInputMessage="false" sqref="C14" type="list">
      <formula1>Listes!$E$3:$E$6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34A"/>
    <pageSetUpPr fitToPage="true"/>
  </sheetPr>
  <dimension ref="B1:N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2" min="11" style="0" width="12"/>
    <col collapsed="false" customWidth="true" hidden="false" outlineLevel="0" max="13" min="13" style="0" width="8"/>
    <col collapsed="false" customWidth="true" hidden="true" outlineLevel="0" max="14" min="14" style="0" width="13"/>
  </cols>
  <sheetData>
    <row r="1" customFormat="false" ht="9.75" hidden="false" customHeight="true" outlineLevel="0" collapsed="false"/>
    <row r="2" customFormat="false" ht="15" hidden="false" customHeight="false" outlineLevel="0" collapsed="false">
      <c r="B2" s="18" t="s">
        <v>0</v>
      </c>
    </row>
    <row r="3" customFormat="false" ht="33.75" hidden="false" customHeight="true" outlineLevel="0" collapsed="false">
      <c r="B3" s="19" t="s">
        <v>73</v>
      </c>
    </row>
    <row r="4" customFormat="false" ht="15" hidden="false" customHeight="false" outlineLevel="0" collapsed="false">
      <c r="B4" s="20" t="s">
        <v>74</v>
      </c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15" hidden="false" customHeight="false" outlineLevel="0" collapsed="false">
      <c r="B7" s="36" t="s">
        <v>75</v>
      </c>
      <c r="C7" s="36"/>
      <c r="D7" s="36"/>
      <c r="E7" s="36"/>
      <c r="F7" s="36" t="s">
        <v>76</v>
      </c>
      <c r="G7" s="36"/>
      <c r="H7" s="36"/>
      <c r="I7" s="36"/>
      <c r="J7" s="36" t="s">
        <v>77</v>
      </c>
      <c r="K7" s="36"/>
      <c r="L7" s="36"/>
      <c r="M7" s="36"/>
    </row>
    <row r="8" customFormat="false" ht="31.5" hidden="false" customHeight="true" outlineLevel="0" collapsed="false">
      <c r="B8" s="37" t="str">
        <f aca="false">COUNTIF(H11:H66,"✓")&amp;" / "&amp;COUNTIF(N11:N66,1)</f>
        <v>0 / 48</v>
      </c>
      <c r="C8" s="37"/>
      <c r="D8" s="37"/>
      <c r="E8" s="37"/>
      <c r="F8" s="38" t="n">
        <f aca="false">IF(COUNTIF(N11:N66,1)=0,0,COUNTIF(H11:H66,"✓")/COUNTIF(N11:N66,1))</f>
        <v>0</v>
      </c>
      <c r="G8" s="38"/>
      <c r="H8" s="38"/>
      <c r="I8" s="38"/>
      <c r="J8" s="39" t="n">
        <f aca="false">COUNTIF(I11:L66,"✓")/(56*4)</f>
        <v>0</v>
      </c>
      <c r="K8" s="39"/>
      <c r="L8" s="39"/>
      <c r="M8" s="39"/>
    </row>
    <row r="10" customFormat="false" ht="27.75" hidden="false" customHeight="true" outlineLevel="0" collapsed="false">
      <c r="B10" s="40" t="s">
        <v>78</v>
      </c>
      <c r="C10" s="40" t="s">
        <v>79</v>
      </c>
      <c r="D10" s="40" t="s">
        <v>80</v>
      </c>
      <c r="E10" s="40" t="s">
        <v>81</v>
      </c>
      <c r="F10" s="40" t="s">
        <v>82</v>
      </c>
      <c r="G10" s="40" t="s">
        <v>83</v>
      </c>
      <c r="H10" s="40" t="s">
        <v>84</v>
      </c>
      <c r="I10" s="40" t="s">
        <v>85</v>
      </c>
      <c r="J10" s="40" t="s">
        <v>86</v>
      </c>
      <c r="K10" s="40" t="s">
        <v>87</v>
      </c>
      <c r="L10" s="40" t="s">
        <v>88</v>
      </c>
      <c r="M10" s="40" t="s">
        <v>89</v>
      </c>
      <c r="N10" s="41" t="s">
        <v>90</v>
      </c>
    </row>
    <row r="11" customFormat="false" ht="15" hidden="false" customHeight="false" outlineLevel="0" collapsed="false">
      <c r="B11" s="42" t="n">
        <v>1</v>
      </c>
      <c r="C11" s="42" t="s">
        <v>91</v>
      </c>
      <c r="D11" s="42" t="s">
        <v>92</v>
      </c>
      <c r="E11" s="43" t="n">
        <f aca="false">IF('Mes calories'!$C$9="","",'Mes calories'!$C$9+0)</f>
        <v>46300</v>
      </c>
      <c r="F11" s="44" t="s">
        <v>18</v>
      </c>
      <c r="G11" s="42" t="s">
        <v>93</v>
      </c>
      <c r="H11" s="9"/>
      <c r="I11" s="9"/>
      <c r="J11" s="9"/>
      <c r="K11" s="9"/>
      <c r="L11" s="9"/>
      <c r="M11" s="45" t="str">
        <f aca="false">COUNTIF(H11:L11,"✓")&amp;"/"&amp;5</f>
        <v>0/5</v>
      </c>
      <c r="N11" s="0" t="n">
        <v>1</v>
      </c>
    </row>
    <row r="12" customFormat="false" ht="15" hidden="false" customHeight="false" outlineLevel="0" collapsed="false">
      <c r="B12" s="42" t="n">
        <v>1</v>
      </c>
      <c r="C12" s="42" t="s">
        <v>91</v>
      </c>
      <c r="D12" s="42" t="s">
        <v>94</v>
      </c>
      <c r="E12" s="43" t="n">
        <f aca="false">IF('Mes calories'!$C$9="","",'Mes calories'!$C$9+1)</f>
        <v>46301</v>
      </c>
      <c r="F12" s="44" t="s">
        <v>20</v>
      </c>
      <c r="G12" s="42" t="s">
        <v>95</v>
      </c>
      <c r="H12" s="9"/>
      <c r="I12" s="9"/>
      <c r="J12" s="9"/>
      <c r="K12" s="9"/>
      <c r="L12" s="9"/>
      <c r="M12" s="45" t="str">
        <f aca="false">COUNTIF(H12:L12,"✓")&amp;"/"&amp;5</f>
        <v>0/5</v>
      </c>
      <c r="N12" s="0" t="n">
        <v>1</v>
      </c>
    </row>
    <row r="13" customFormat="false" ht="15" hidden="false" customHeight="false" outlineLevel="0" collapsed="false">
      <c r="B13" s="42" t="n">
        <v>1</v>
      </c>
      <c r="C13" s="42" t="s">
        <v>91</v>
      </c>
      <c r="D13" s="42" t="s">
        <v>96</v>
      </c>
      <c r="E13" s="43" t="n">
        <f aca="false">IF('Mes calories'!$C$9="","",'Mes calories'!$C$9+2)</f>
        <v>46302</v>
      </c>
      <c r="F13" s="44" t="s">
        <v>97</v>
      </c>
      <c r="G13" s="42" t="s">
        <v>98</v>
      </c>
      <c r="H13" s="9"/>
      <c r="I13" s="9"/>
      <c r="J13" s="9"/>
      <c r="K13" s="9"/>
      <c r="L13" s="9"/>
      <c r="M13" s="45" t="str">
        <f aca="false">COUNTIF(H13:L13,"✓")&amp;"/"&amp;5</f>
        <v>0/5</v>
      </c>
      <c r="N13" s="0" t="n">
        <v>1</v>
      </c>
    </row>
    <row r="14" customFormat="false" ht="15" hidden="false" customHeight="false" outlineLevel="0" collapsed="false">
      <c r="B14" s="42" t="n">
        <v>1</v>
      </c>
      <c r="C14" s="42" t="s">
        <v>91</v>
      </c>
      <c r="D14" s="42" t="s">
        <v>99</v>
      </c>
      <c r="E14" s="43" t="n">
        <f aca="false">IF('Mes calories'!$C$9="","",'Mes calories'!$C$9+3)</f>
        <v>46303</v>
      </c>
      <c r="F14" s="44" t="s">
        <v>24</v>
      </c>
      <c r="G14" s="42" t="s">
        <v>100</v>
      </c>
      <c r="H14" s="9"/>
      <c r="I14" s="9"/>
      <c r="J14" s="9"/>
      <c r="K14" s="9"/>
      <c r="L14" s="9"/>
      <c r="M14" s="45" t="str">
        <f aca="false">COUNTIF(H14:L14,"✓")&amp;"/"&amp;5</f>
        <v>0/5</v>
      </c>
      <c r="N14" s="0" t="n">
        <v>1</v>
      </c>
    </row>
    <row r="15" customFormat="false" ht="15" hidden="false" customHeight="false" outlineLevel="0" collapsed="false">
      <c r="B15" s="42" t="n">
        <v>1</v>
      </c>
      <c r="C15" s="42" t="s">
        <v>91</v>
      </c>
      <c r="D15" s="42" t="s">
        <v>101</v>
      </c>
      <c r="E15" s="43" t="n">
        <f aca="false">IF('Mes calories'!$C$9="","",'Mes calories'!$C$9+4)</f>
        <v>46304</v>
      </c>
      <c r="F15" s="44" t="s">
        <v>26</v>
      </c>
      <c r="G15" s="42" t="s">
        <v>93</v>
      </c>
      <c r="H15" s="9"/>
      <c r="I15" s="9"/>
      <c r="J15" s="9"/>
      <c r="K15" s="9"/>
      <c r="L15" s="9"/>
      <c r="M15" s="45" t="str">
        <f aca="false">COUNTIF(H15:L15,"✓")&amp;"/"&amp;5</f>
        <v>0/5</v>
      </c>
      <c r="N15" s="0" t="n">
        <v>1</v>
      </c>
    </row>
    <row r="16" customFormat="false" ht="15" hidden="false" customHeight="false" outlineLevel="0" collapsed="false">
      <c r="B16" s="42" t="n">
        <v>1</v>
      </c>
      <c r="C16" s="42" t="s">
        <v>91</v>
      </c>
      <c r="D16" s="42" t="s">
        <v>102</v>
      </c>
      <c r="E16" s="43" t="n">
        <f aca="false">IF('Mes calories'!$C$9="","",'Mes calories'!$C$9+5)</f>
        <v>46305</v>
      </c>
      <c r="F16" s="44" t="s">
        <v>28</v>
      </c>
      <c r="G16" s="42" t="s">
        <v>100</v>
      </c>
      <c r="H16" s="9"/>
      <c r="I16" s="9"/>
      <c r="J16" s="9"/>
      <c r="K16" s="9"/>
      <c r="L16" s="9"/>
      <c r="M16" s="45" t="str">
        <f aca="false">COUNTIF(H16:L16,"✓")&amp;"/"&amp;5</f>
        <v>0/5</v>
      </c>
      <c r="N16" s="0" t="n">
        <v>1</v>
      </c>
    </row>
    <row r="17" customFormat="false" ht="15" hidden="false" customHeight="false" outlineLevel="0" collapsed="false">
      <c r="B17" s="42" t="n">
        <v>1</v>
      </c>
      <c r="C17" s="42" t="s">
        <v>91</v>
      </c>
      <c r="D17" s="42" t="s">
        <v>103</v>
      </c>
      <c r="E17" s="43" t="n">
        <f aca="false">IF('Mes calories'!$C$9="","",'Mes calories'!$C$9+6)</f>
        <v>46306</v>
      </c>
      <c r="F17" s="44" t="s">
        <v>30</v>
      </c>
      <c r="G17" s="42" t="s">
        <v>104</v>
      </c>
      <c r="H17" s="46" t="s">
        <v>104</v>
      </c>
      <c r="I17" s="9"/>
      <c r="J17" s="9"/>
      <c r="K17" s="9"/>
      <c r="L17" s="9"/>
      <c r="M17" s="45" t="str">
        <f aca="false">COUNTIF(H17:L17,"✓")&amp;"/"&amp;4</f>
        <v>0/4</v>
      </c>
      <c r="N17" s="0" t="n">
        <v>0</v>
      </c>
    </row>
    <row r="18" customFormat="false" ht="15" hidden="false" customHeight="false" outlineLevel="0" collapsed="false">
      <c r="B18" s="47" t="n">
        <v>2</v>
      </c>
      <c r="C18" s="47" t="s">
        <v>91</v>
      </c>
      <c r="D18" s="47" t="s">
        <v>92</v>
      </c>
      <c r="E18" s="48" t="n">
        <f aca="false">IF('Mes calories'!$C$9="","",'Mes calories'!$C$9+7)</f>
        <v>46307</v>
      </c>
      <c r="F18" s="49" t="s">
        <v>18</v>
      </c>
      <c r="G18" s="47" t="s">
        <v>93</v>
      </c>
      <c r="H18" s="9"/>
      <c r="I18" s="9"/>
      <c r="J18" s="9"/>
      <c r="K18" s="9"/>
      <c r="L18" s="9"/>
      <c r="M18" s="45" t="str">
        <f aca="false">COUNTIF(H18:L18,"✓")&amp;"/"&amp;5</f>
        <v>0/5</v>
      </c>
      <c r="N18" s="0" t="n">
        <v>1</v>
      </c>
    </row>
    <row r="19" customFormat="false" ht="15" hidden="false" customHeight="false" outlineLevel="0" collapsed="false">
      <c r="B19" s="47" t="n">
        <v>2</v>
      </c>
      <c r="C19" s="47" t="s">
        <v>91</v>
      </c>
      <c r="D19" s="47" t="s">
        <v>94</v>
      </c>
      <c r="E19" s="48" t="n">
        <f aca="false">IF('Mes calories'!$C$9="","",'Mes calories'!$C$9+8)</f>
        <v>46308</v>
      </c>
      <c r="F19" s="49" t="s">
        <v>20</v>
      </c>
      <c r="G19" s="47" t="s">
        <v>95</v>
      </c>
      <c r="H19" s="9"/>
      <c r="I19" s="9"/>
      <c r="J19" s="9"/>
      <c r="K19" s="9"/>
      <c r="L19" s="9"/>
      <c r="M19" s="45" t="str">
        <f aca="false">COUNTIF(H19:L19,"✓")&amp;"/"&amp;5</f>
        <v>0/5</v>
      </c>
      <c r="N19" s="0" t="n">
        <v>1</v>
      </c>
    </row>
    <row r="20" customFormat="false" ht="15" hidden="false" customHeight="false" outlineLevel="0" collapsed="false">
      <c r="B20" s="47" t="n">
        <v>2</v>
      </c>
      <c r="C20" s="47" t="s">
        <v>91</v>
      </c>
      <c r="D20" s="47" t="s">
        <v>96</v>
      </c>
      <c r="E20" s="48" t="n">
        <f aca="false">IF('Mes calories'!$C$9="","",'Mes calories'!$C$9+9)</f>
        <v>46309</v>
      </c>
      <c r="F20" s="49" t="s">
        <v>97</v>
      </c>
      <c r="G20" s="47" t="s">
        <v>98</v>
      </c>
      <c r="H20" s="9"/>
      <c r="I20" s="9"/>
      <c r="J20" s="9"/>
      <c r="K20" s="9"/>
      <c r="L20" s="9"/>
      <c r="M20" s="45" t="str">
        <f aca="false">COUNTIF(H20:L20,"✓")&amp;"/"&amp;5</f>
        <v>0/5</v>
      </c>
      <c r="N20" s="0" t="n">
        <v>1</v>
      </c>
    </row>
    <row r="21" customFormat="false" ht="15" hidden="false" customHeight="false" outlineLevel="0" collapsed="false">
      <c r="B21" s="47" t="n">
        <v>2</v>
      </c>
      <c r="C21" s="47" t="s">
        <v>91</v>
      </c>
      <c r="D21" s="47" t="s">
        <v>99</v>
      </c>
      <c r="E21" s="48" t="n">
        <f aca="false">IF('Mes calories'!$C$9="","",'Mes calories'!$C$9+10)</f>
        <v>46310</v>
      </c>
      <c r="F21" s="49" t="s">
        <v>24</v>
      </c>
      <c r="G21" s="47" t="s">
        <v>100</v>
      </c>
      <c r="H21" s="9"/>
      <c r="I21" s="9"/>
      <c r="J21" s="9"/>
      <c r="K21" s="9"/>
      <c r="L21" s="9"/>
      <c r="M21" s="45" t="str">
        <f aca="false">COUNTIF(H21:L21,"✓")&amp;"/"&amp;5</f>
        <v>0/5</v>
      </c>
      <c r="N21" s="0" t="n">
        <v>1</v>
      </c>
    </row>
    <row r="22" customFormat="false" ht="15" hidden="false" customHeight="false" outlineLevel="0" collapsed="false">
      <c r="B22" s="47" t="n">
        <v>2</v>
      </c>
      <c r="C22" s="47" t="s">
        <v>91</v>
      </c>
      <c r="D22" s="47" t="s">
        <v>101</v>
      </c>
      <c r="E22" s="48" t="n">
        <f aca="false">IF('Mes calories'!$C$9="","",'Mes calories'!$C$9+11)</f>
        <v>46311</v>
      </c>
      <c r="F22" s="49" t="s">
        <v>26</v>
      </c>
      <c r="G22" s="47" t="s">
        <v>93</v>
      </c>
      <c r="H22" s="9"/>
      <c r="I22" s="9"/>
      <c r="J22" s="9"/>
      <c r="K22" s="9"/>
      <c r="L22" s="9"/>
      <c r="M22" s="45" t="str">
        <f aca="false">COUNTIF(H22:L22,"✓")&amp;"/"&amp;5</f>
        <v>0/5</v>
      </c>
      <c r="N22" s="0" t="n">
        <v>1</v>
      </c>
    </row>
    <row r="23" customFormat="false" ht="15" hidden="false" customHeight="false" outlineLevel="0" collapsed="false">
      <c r="B23" s="47" t="n">
        <v>2</v>
      </c>
      <c r="C23" s="47" t="s">
        <v>91</v>
      </c>
      <c r="D23" s="47" t="s">
        <v>102</v>
      </c>
      <c r="E23" s="48" t="n">
        <f aca="false">IF('Mes calories'!$C$9="","",'Mes calories'!$C$9+12)</f>
        <v>46312</v>
      </c>
      <c r="F23" s="49" t="s">
        <v>28</v>
      </c>
      <c r="G23" s="47" t="s">
        <v>100</v>
      </c>
      <c r="H23" s="9"/>
      <c r="I23" s="9"/>
      <c r="J23" s="9"/>
      <c r="K23" s="9"/>
      <c r="L23" s="9"/>
      <c r="M23" s="45" t="str">
        <f aca="false">COUNTIF(H23:L23,"✓")&amp;"/"&amp;5</f>
        <v>0/5</v>
      </c>
      <c r="N23" s="0" t="n">
        <v>1</v>
      </c>
    </row>
    <row r="24" customFormat="false" ht="15" hidden="false" customHeight="false" outlineLevel="0" collapsed="false">
      <c r="B24" s="47" t="n">
        <v>2</v>
      </c>
      <c r="C24" s="47" t="s">
        <v>91</v>
      </c>
      <c r="D24" s="47" t="s">
        <v>103</v>
      </c>
      <c r="E24" s="48" t="n">
        <f aca="false">IF('Mes calories'!$C$9="","",'Mes calories'!$C$9+13)</f>
        <v>46313</v>
      </c>
      <c r="F24" s="49" t="s">
        <v>30</v>
      </c>
      <c r="G24" s="47" t="s">
        <v>104</v>
      </c>
      <c r="H24" s="50" t="s">
        <v>104</v>
      </c>
      <c r="I24" s="9"/>
      <c r="J24" s="9"/>
      <c r="K24" s="9"/>
      <c r="L24" s="9"/>
      <c r="M24" s="45" t="str">
        <f aca="false">COUNTIF(H24:L24,"✓")&amp;"/"&amp;4</f>
        <v>0/4</v>
      </c>
      <c r="N24" s="0" t="n">
        <v>0</v>
      </c>
    </row>
    <row r="25" customFormat="false" ht="15" hidden="false" customHeight="false" outlineLevel="0" collapsed="false">
      <c r="B25" s="42" t="n">
        <v>3</v>
      </c>
      <c r="C25" s="42" t="s">
        <v>105</v>
      </c>
      <c r="D25" s="42" t="s">
        <v>92</v>
      </c>
      <c r="E25" s="43" t="n">
        <f aca="false">IF('Mes calories'!$C$9="","",'Mes calories'!$C$9+14)</f>
        <v>46314</v>
      </c>
      <c r="F25" s="44" t="s">
        <v>18</v>
      </c>
      <c r="G25" s="42" t="s">
        <v>93</v>
      </c>
      <c r="H25" s="9"/>
      <c r="I25" s="9"/>
      <c r="J25" s="9"/>
      <c r="K25" s="9"/>
      <c r="L25" s="9"/>
      <c r="M25" s="45" t="str">
        <f aca="false">COUNTIF(H25:L25,"✓")&amp;"/"&amp;5</f>
        <v>0/5</v>
      </c>
      <c r="N25" s="0" t="n">
        <v>1</v>
      </c>
    </row>
    <row r="26" customFormat="false" ht="15" hidden="false" customHeight="false" outlineLevel="0" collapsed="false">
      <c r="B26" s="42" t="n">
        <v>3</v>
      </c>
      <c r="C26" s="42" t="s">
        <v>105</v>
      </c>
      <c r="D26" s="42" t="s">
        <v>94</v>
      </c>
      <c r="E26" s="43" t="n">
        <f aca="false">IF('Mes calories'!$C$9="","",'Mes calories'!$C$9+15)</f>
        <v>46315</v>
      </c>
      <c r="F26" s="44" t="s">
        <v>20</v>
      </c>
      <c r="G26" s="42" t="s">
        <v>95</v>
      </c>
      <c r="H26" s="9"/>
      <c r="I26" s="9"/>
      <c r="J26" s="9"/>
      <c r="K26" s="9"/>
      <c r="L26" s="9"/>
      <c r="M26" s="45" t="str">
        <f aca="false">COUNTIF(H26:L26,"✓")&amp;"/"&amp;5</f>
        <v>0/5</v>
      </c>
      <c r="N26" s="0" t="n">
        <v>1</v>
      </c>
    </row>
    <row r="27" customFormat="false" ht="15" hidden="false" customHeight="false" outlineLevel="0" collapsed="false">
      <c r="B27" s="42" t="n">
        <v>3</v>
      </c>
      <c r="C27" s="42" t="s">
        <v>105</v>
      </c>
      <c r="D27" s="42" t="s">
        <v>96</v>
      </c>
      <c r="E27" s="43" t="n">
        <f aca="false">IF('Mes calories'!$C$9="","",'Mes calories'!$C$9+16)</f>
        <v>46316</v>
      </c>
      <c r="F27" s="44" t="s">
        <v>97</v>
      </c>
      <c r="G27" s="42" t="s">
        <v>98</v>
      </c>
      <c r="H27" s="9"/>
      <c r="I27" s="9"/>
      <c r="J27" s="9"/>
      <c r="K27" s="9"/>
      <c r="L27" s="9"/>
      <c r="M27" s="45" t="str">
        <f aca="false">COUNTIF(H27:L27,"✓")&amp;"/"&amp;5</f>
        <v>0/5</v>
      </c>
      <c r="N27" s="0" t="n">
        <v>1</v>
      </c>
    </row>
    <row r="28" customFormat="false" ht="15" hidden="false" customHeight="false" outlineLevel="0" collapsed="false">
      <c r="B28" s="42" t="n">
        <v>3</v>
      </c>
      <c r="C28" s="42" t="s">
        <v>105</v>
      </c>
      <c r="D28" s="42" t="s">
        <v>99</v>
      </c>
      <c r="E28" s="43" t="n">
        <f aca="false">IF('Mes calories'!$C$9="","",'Mes calories'!$C$9+17)</f>
        <v>46317</v>
      </c>
      <c r="F28" s="44" t="s">
        <v>24</v>
      </c>
      <c r="G28" s="42" t="s">
        <v>100</v>
      </c>
      <c r="H28" s="9"/>
      <c r="I28" s="9"/>
      <c r="J28" s="9"/>
      <c r="K28" s="9"/>
      <c r="L28" s="9"/>
      <c r="M28" s="45" t="str">
        <f aca="false">COUNTIF(H28:L28,"✓")&amp;"/"&amp;5</f>
        <v>0/5</v>
      </c>
      <c r="N28" s="0" t="n">
        <v>1</v>
      </c>
    </row>
    <row r="29" customFormat="false" ht="15" hidden="false" customHeight="false" outlineLevel="0" collapsed="false">
      <c r="B29" s="42" t="n">
        <v>3</v>
      </c>
      <c r="C29" s="42" t="s">
        <v>105</v>
      </c>
      <c r="D29" s="42" t="s">
        <v>101</v>
      </c>
      <c r="E29" s="43" t="n">
        <f aca="false">IF('Mes calories'!$C$9="","",'Mes calories'!$C$9+18)</f>
        <v>46318</v>
      </c>
      <c r="F29" s="44" t="s">
        <v>26</v>
      </c>
      <c r="G29" s="42" t="s">
        <v>93</v>
      </c>
      <c r="H29" s="9"/>
      <c r="I29" s="9"/>
      <c r="J29" s="9"/>
      <c r="K29" s="9"/>
      <c r="L29" s="9"/>
      <c r="M29" s="45" t="str">
        <f aca="false">COUNTIF(H29:L29,"✓")&amp;"/"&amp;5</f>
        <v>0/5</v>
      </c>
      <c r="N29" s="0" t="n">
        <v>1</v>
      </c>
    </row>
    <row r="30" customFormat="false" ht="15" hidden="false" customHeight="false" outlineLevel="0" collapsed="false">
      <c r="B30" s="42" t="n">
        <v>3</v>
      </c>
      <c r="C30" s="42" t="s">
        <v>105</v>
      </c>
      <c r="D30" s="42" t="s">
        <v>102</v>
      </c>
      <c r="E30" s="43" t="n">
        <f aca="false">IF('Mes calories'!$C$9="","",'Mes calories'!$C$9+19)</f>
        <v>46319</v>
      </c>
      <c r="F30" s="44" t="s">
        <v>28</v>
      </c>
      <c r="G30" s="42" t="s">
        <v>100</v>
      </c>
      <c r="H30" s="9"/>
      <c r="I30" s="9"/>
      <c r="J30" s="9"/>
      <c r="K30" s="9"/>
      <c r="L30" s="9"/>
      <c r="M30" s="45" t="str">
        <f aca="false">COUNTIF(H30:L30,"✓")&amp;"/"&amp;5</f>
        <v>0/5</v>
      </c>
      <c r="N30" s="0" t="n">
        <v>1</v>
      </c>
    </row>
    <row r="31" customFormat="false" ht="15" hidden="false" customHeight="false" outlineLevel="0" collapsed="false">
      <c r="B31" s="42" t="n">
        <v>3</v>
      </c>
      <c r="C31" s="42" t="s">
        <v>105</v>
      </c>
      <c r="D31" s="42" t="s">
        <v>103</v>
      </c>
      <c r="E31" s="43" t="n">
        <f aca="false">IF('Mes calories'!$C$9="","",'Mes calories'!$C$9+20)</f>
        <v>46320</v>
      </c>
      <c r="F31" s="44" t="s">
        <v>30</v>
      </c>
      <c r="G31" s="42" t="s">
        <v>104</v>
      </c>
      <c r="H31" s="46" t="s">
        <v>104</v>
      </c>
      <c r="I31" s="9"/>
      <c r="J31" s="9"/>
      <c r="K31" s="9"/>
      <c r="L31" s="9"/>
      <c r="M31" s="45" t="str">
        <f aca="false">COUNTIF(H31:L31,"✓")&amp;"/"&amp;4</f>
        <v>0/4</v>
      </c>
      <c r="N31" s="0" t="n">
        <v>0</v>
      </c>
    </row>
    <row r="32" customFormat="false" ht="15" hidden="false" customHeight="false" outlineLevel="0" collapsed="false">
      <c r="B32" s="47" t="n">
        <v>4</v>
      </c>
      <c r="C32" s="47" t="s">
        <v>105</v>
      </c>
      <c r="D32" s="47" t="s">
        <v>92</v>
      </c>
      <c r="E32" s="48" t="n">
        <f aca="false">IF('Mes calories'!$C$9="","",'Mes calories'!$C$9+21)</f>
        <v>46321</v>
      </c>
      <c r="F32" s="49" t="s">
        <v>18</v>
      </c>
      <c r="G32" s="47" t="s">
        <v>93</v>
      </c>
      <c r="H32" s="9"/>
      <c r="I32" s="9"/>
      <c r="J32" s="9"/>
      <c r="K32" s="9"/>
      <c r="L32" s="9"/>
      <c r="M32" s="45" t="str">
        <f aca="false">COUNTIF(H32:L32,"✓")&amp;"/"&amp;5</f>
        <v>0/5</v>
      </c>
      <c r="N32" s="0" t="n">
        <v>1</v>
      </c>
    </row>
    <row r="33" customFormat="false" ht="15" hidden="false" customHeight="false" outlineLevel="0" collapsed="false">
      <c r="B33" s="47" t="n">
        <v>4</v>
      </c>
      <c r="C33" s="47" t="s">
        <v>105</v>
      </c>
      <c r="D33" s="47" t="s">
        <v>94</v>
      </c>
      <c r="E33" s="48" t="n">
        <f aca="false">IF('Mes calories'!$C$9="","",'Mes calories'!$C$9+22)</f>
        <v>46322</v>
      </c>
      <c r="F33" s="49" t="s">
        <v>20</v>
      </c>
      <c r="G33" s="47" t="s">
        <v>95</v>
      </c>
      <c r="H33" s="9"/>
      <c r="I33" s="9"/>
      <c r="J33" s="9"/>
      <c r="K33" s="9"/>
      <c r="L33" s="9"/>
      <c r="M33" s="45" t="str">
        <f aca="false">COUNTIF(H33:L33,"✓")&amp;"/"&amp;5</f>
        <v>0/5</v>
      </c>
      <c r="N33" s="0" t="n">
        <v>1</v>
      </c>
    </row>
    <row r="34" customFormat="false" ht="15" hidden="false" customHeight="false" outlineLevel="0" collapsed="false">
      <c r="B34" s="47" t="n">
        <v>4</v>
      </c>
      <c r="C34" s="47" t="s">
        <v>105</v>
      </c>
      <c r="D34" s="47" t="s">
        <v>96</v>
      </c>
      <c r="E34" s="48" t="n">
        <f aca="false">IF('Mes calories'!$C$9="","",'Mes calories'!$C$9+23)</f>
        <v>46323</v>
      </c>
      <c r="F34" s="49" t="s">
        <v>97</v>
      </c>
      <c r="G34" s="47" t="s">
        <v>98</v>
      </c>
      <c r="H34" s="9"/>
      <c r="I34" s="9"/>
      <c r="J34" s="9"/>
      <c r="K34" s="9"/>
      <c r="L34" s="9"/>
      <c r="M34" s="45" t="str">
        <f aca="false">COUNTIF(H34:L34,"✓")&amp;"/"&amp;5</f>
        <v>0/5</v>
      </c>
      <c r="N34" s="0" t="n">
        <v>1</v>
      </c>
    </row>
    <row r="35" customFormat="false" ht="15" hidden="false" customHeight="false" outlineLevel="0" collapsed="false">
      <c r="B35" s="47" t="n">
        <v>4</v>
      </c>
      <c r="C35" s="47" t="s">
        <v>105</v>
      </c>
      <c r="D35" s="47" t="s">
        <v>99</v>
      </c>
      <c r="E35" s="48" t="n">
        <f aca="false">IF('Mes calories'!$C$9="","",'Mes calories'!$C$9+24)</f>
        <v>46324</v>
      </c>
      <c r="F35" s="49" t="s">
        <v>24</v>
      </c>
      <c r="G35" s="47" t="s">
        <v>100</v>
      </c>
      <c r="H35" s="9"/>
      <c r="I35" s="9"/>
      <c r="J35" s="9"/>
      <c r="K35" s="9"/>
      <c r="L35" s="9"/>
      <c r="M35" s="45" t="str">
        <f aca="false">COUNTIF(H35:L35,"✓")&amp;"/"&amp;5</f>
        <v>0/5</v>
      </c>
      <c r="N35" s="0" t="n">
        <v>1</v>
      </c>
    </row>
    <row r="36" customFormat="false" ht="15" hidden="false" customHeight="false" outlineLevel="0" collapsed="false">
      <c r="B36" s="47" t="n">
        <v>4</v>
      </c>
      <c r="C36" s="47" t="s">
        <v>105</v>
      </c>
      <c r="D36" s="47" t="s">
        <v>101</v>
      </c>
      <c r="E36" s="48" t="n">
        <f aca="false">IF('Mes calories'!$C$9="","",'Mes calories'!$C$9+25)</f>
        <v>46325</v>
      </c>
      <c r="F36" s="49" t="s">
        <v>26</v>
      </c>
      <c r="G36" s="47" t="s">
        <v>93</v>
      </c>
      <c r="H36" s="9"/>
      <c r="I36" s="9"/>
      <c r="J36" s="9"/>
      <c r="K36" s="9"/>
      <c r="L36" s="9"/>
      <c r="M36" s="45" t="str">
        <f aca="false">COUNTIF(H36:L36,"✓")&amp;"/"&amp;5</f>
        <v>0/5</v>
      </c>
      <c r="N36" s="0" t="n">
        <v>1</v>
      </c>
    </row>
    <row r="37" customFormat="false" ht="15" hidden="false" customHeight="false" outlineLevel="0" collapsed="false">
      <c r="B37" s="47" t="n">
        <v>4</v>
      </c>
      <c r="C37" s="47" t="s">
        <v>105</v>
      </c>
      <c r="D37" s="47" t="s">
        <v>102</v>
      </c>
      <c r="E37" s="48" t="n">
        <f aca="false">IF('Mes calories'!$C$9="","",'Mes calories'!$C$9+26)</f>
        <v>46326</v>
      </c>
      <c r="F37" s="49" t="s">
        <v>28</v>
      </c>
      <c r="G37" s="47" t="s">
        <v>100</v>
      </c>
      <c r="H37" s="9"/>
      <c r="I37" s="9"/>
      <c r="J37" s="9"/>
      <c r="K37" s="9"/>
      <c r="L37" s="9"/>
      <c r="M37" s="45" t="str">
        <f aca="false">COUNTIF(H37:L37,"✓")&amp;"/"&amp;5</f>
        <v>0/5</v>
      </c>
      <c r="N37" s="0" t="n">
        <v>1</v>
      </c>
    </row>
    <row r="38" customFormat="false" ht="15" hidden="false" customHeight="false" outlineLevel="0" collapsed="false">
      <c r="B38" s="47" t="n">
        <v>4</v>
      </c>
      <c r="C38" s="47" t="s">
        <v>105</v>
      </c>
      <c r="D38" s="47" t="s">
        <v>103</v>
      </c>
      <c r="E38" s="48" t="n">
        <f aca="false">IF('Mes calories'!$C$9="","",'Mes calories'!$C$9+27)</f>
        <v>46327</v>
      </c>
      <c r="F38" s="49" t="s">
        <v>30</v>
      </c>
      <c r="G38" s="47" t="s">
        <v>104</v>
      </c>
      <c r="H38" s="50" t="s">
        <v>104</v>
      </c>
      <c r="I38" s="9"/>
      <c r="J38" s="9"/>
      <c r="K38" s="9"/>
      <c r="L38" s="9"/>
      <c r="M38" s="45" t="str">
        <f aca="false">COUNTIF(H38:L38,"✓")&amp;"/"&amp;4</f>
        <v>0/4</v>
      </c>
      <c r="N38" s="0" t="n">
        <v>0</v>
      </c>
    </row>
    <row r="39" customFormat="false" ht="15" hidden="false" customHeight="false" outlineLevel="0" collapsed="false">
      <c r="B39" s="42" t="n">
        <v>5</v>
      </c>
      <c r="C39" s="42" t="s">
        <v>105</v>
      </c>
      <c r="D39" s="42" t="s">
        <v>92</v>
      </c>
      <c r="E39" s="43" t="n">
        <f aca="false">IF('Mes calories'!$C$9="","",'Mes calories'!$C$9+28)</f>
        <v>46328</v>
      </c>
      <c r="F39" s="44" t="s">
        <v>18</v>
      </c>
      <c r="G39" s="42" t="s">
        <v>93</v>
      </c>
      <c r="H39" s="9"/>
      <c r="I39" s="9"/>
      <c r="J39" s="9"/>
      <c r="K39" s="9"/>
      <c r="L39" s="9"/>
      <c r="M39" s="45" t="str">
        <f aca="false">COUNTIF(H39:L39,"✓")&amp;"/"&amp;5</f>
        <v>0/5</v>
      </c>
      <c r="N39" s="0" t="n">
        <v>1</v>
      </c>
    </row>
    <row r="40" customFormat="false" ht="15" hidden="false" customHeight="false" outlineLevel="0" collapsed="false">
      <c r="B40" s="42" t="n">
        <v>5</v>
      </c>
      <c r="C40" s="42" t="s">
        <v>105</v>
      </c>
      <c r="D40" s="42" t="s">
        <v>94</v>
      </c>
      <c r="E40" s="43" t="n">
        <f aca="false">IF('Mes calories'!$C$9="","",'Mes calories'!$C$9+29)</f>
        <v>46329</v>
      </c>
      <c r="F40" s="44" t="s">
        <v>20</v>
      </c>
      <c r="G40" s="42" t="s">
        <v>95</v>
      </c>
      <c r="H40" s="9"/>
      <c r="I40" s="9"/>
      <c r="J40" s="9"/>
      <c r="K40" s="9"/>
      <c r="L40" s="9"/>
      <c r="M40" s="45" t="str">
        <f aca="false">COUNTIF(H40:L40,"✓")&amp;"/"&amp;5</f>
        <v>0/5</v>
      </c>
      <c r="N40" s="0" t="n">
        <v>1</v>
      </c>
    </row>
    <row r="41" customFormat="false" ht="15" hidden="false" customHeight="false" outlineLevel="0" collapsed="false">
      <c r="B41" s="42" t="n">
        <v>5</v>
      </c>
      <c r="C41" s="42" t="s">
        <v>105</v>
      </c>
      <c r="D41" s="42" t="s">
        <v>96</v>
      </c>
      <c r="E41" s="43" t="n">
        <f aca="false">IF('Mes calories'!$C$9="","",'Mes calories'!$C$9+30)</f>
        <v>46330</v>
      </c>
      <c r="F41" s="44" t="s">
        <v>97</v>
      </c>
      <c r="G41" s="42" t="s">
        <v>98</v>
      </c>
      <c r="H41" s="9"/>
      <c r="I41" s="9"/>
      <c r="J41" s="9"/>
      <c r="K41" s="9"/>
      <c r="L41" s="9"/>
      <c r="M41" s="45" t="str">
        <f aca="false">COUNTIF(H41:L41,"✓")&amp;"/"&amp;5</f>
        <v>0/5</v>
      </c>
      <c r="N41" s="0" t="n">
        <v>1</v>
      </c>
    </row>
    <row r="42" customFormat="false" ht="15" hidden="false" customHeight="false" outlineLevel="0" collapsed="false">
      <c r="B42" s="42" t="n">
        <v>5</v>
      </c>
      <c r="C42" s="42" t="s">
        <v>105</v>
      </c>
      <c r="D42" s="42" t="s">
        <v>99</v>
      </c>
      <c r="E42" s="43" t="n">
        <f aca="false">IF('Mes calories'!$C$9="","",'Mes calories'!$C$9+31)</f>
        <v>46331</v>
      </c>
      <c r="F42" s="44" t="s">
        <v>24</v>
      </c>
      <c r="G42" s="42" t="s">
        <v>100</v>
      </c>
      <c r="H42" s="9"/>
      <c r="I42" s="9"/>
      <c r="J42" s="9"/>
      <c r="K42" s="9"/>
      <c r="L42" s="9"/>
      <c r="M42" s="45" t="str">
        <f aca="false">COUNTIF(H42:L42,"✓")&amp;"/"&amp;5</f>
        <v>0/5</v>
      </c>
      <c r="N42" s="0" t="n">
        <v>1</v>
      </c>
    </row>
    <row r="43" customFormat="false" ht="15" hidden="false" customHeight="false" outlineLevel="0" collapsed="false">
      <c r="B43" s="42" t="n">
        <v>5</v>
      </c>
      <c r="C43" s="42" t="s">
        <v>105</v>
      </c>
      <c r="D43" s="42" t="s">
        <v>101</v>
      </c>
      <c r="E43" s="43" t="n">
        <f aca="false">IF('Mes calories'!$C$9="","",'Mes calories'!$C$9+32)</f>
        <v>46332</v>
      </c>
      <c r="F43" s="44" t="s">
        <v>26</v>
      </c>
      <c r="G43" s="42" t="s">
        <v>93</v>
      </c>
      <c r="H43" s="9"/>
      <c r="I43" s="9"/>
      <c r="J43" s="9"/>
      <c r="K43" s="9"/>
      <c r="L43" s="9"/>
      <c r="M43" s="45" t="str">
        <f aca="false">COUNTIF(H43:L43,"✓")&amp;"/"&amp;5</f>
        <v>0/5</v>
      </c>
      <c r="N43" s="0" t="n">
        <v>1</v>
      </c>
    </row>
    <row r="44" customFormat="false" ht="15" hidden="false" customHeight="false" outlineLevel="0" collapsed="false">
      <c r="B44" s="42" t="n">
        <v>5</v>
      </c>
      <c r="C44" s="42" t="s">
        <v>105</v>
      </c>
      <c r="D44" s="42" t="s">
        <v>102</v>
      </c>
      <c r="E44" s="43" t="n">
        <f aca="false">IF('Mes calories'!$C$9="","",'Mes calories'!$C$9+33)</f>
        <v>46333</v>
      </c>
      <c r="F44" s="44" t="s">
        <v>28</v>
      </c>
      <c r="G44" s="42" t="s">
        <v>100</v>
      </c>
      <c r="H44" s="9"/>
      <c r="I44" s="9"/>
      <c r="J44" s="9"/>
      <c r="K44" s="9"/>
      <c r="L44" s="9"/>
      <c r="M44" s="45" t="str">
        <f aca="false">COUNTIF(H44:L44,"✓")&amp;"/"&amp;5</f>
        <v>0/5</v>
      </c>
      <c r="N44" s="0" t="n">
        <v>1</v>
      </c>
    </row>
    <row r="45" customFormat="false" ht="15" hidden="false" customHeight="false" outlineLevel="0" collapsed="false">
      <c r="B45" s="42" t="n">
        <v>5</v>
      </c>
      <c r="C45" s="42" t="s">
        <v>105</v>
      </c>
      <c r="D45" s="42" t="s">
        <v>103</v>
      </c>
      <c r="E45" s="43" t="n">
        <f aca="false">IF('Mes calories'!$C$9="","",'Mes calories'!$C$9+34)</f>
        <v>46334</v>
      </c>
      <c r="F45" s="44" t="s">
        <v>30</v>
      </c>
      <c r="G45" s="42" t="s">
        <v>104</v>
      </c>
      <c r="H45" s="46" t="s">
        <v>104</v>
      </c>
      <c r="I45" s="9"/>
      <c r="J45" s="9"/>
      <c r="K45" s="9"/>
      <c r="L45" s="9"/>
      <c r="M45" s="45" t="str">
        <f aca="false">COUNTIF(H45:L45,"✓")&amp;"/"&amp;4</f>
        <v>0/4</v>
      </c>
      <c r="N45" s="0" t="n">
        <v>0</v>
      </c>
    </row>
    <row r="46" customFormat="false" ht="15" hidden="false" customHeight="false" outlineLevel="0" collapsed="false">
      <c r="B46" s="47" t="n">
        <v>6</v>
      </c>
      <c r="C46" s="47" t="s">
        <v>106</v>
      </c>
      <c r="D46" s="47" t="s">
        <v>92</v>
      </c>
      <c r="E46" s="48" t="n">
        <f aca="false">IF('Mes calories'!$C$9="","",'Mes calories'!$C$9+35)</f>
        <v>46335</v>
      </c>
      <c r="F46" s="49" t="s">
        <v>18</v>
      </c>
      <c r="G46" s="47" t="s">
        <v>93</v>
      </c>
      <c r="H46" s="9"/>
      <c r="I46" s="9"/>
      <c r="J46" s="9"/>
      <c r="K46" s="9"/>
      <c r="L46" s="9"/>
      <c r="M46" s="45" t="str">
        <f aca="false">COUNTIF(H46:L46,"✓")&amp;"/"&amp;5</f>
        <v>0/5</v>
      </c>
      <c r="N46" s="0" t="n">
        <v>1</v>
      </c>
    </row>
    <row r="47" customFormat="false" ht="15" hidden="false" customHeight="false" outlineLevel="0" collapsed="false">
      <c r="B47" s="47" t="n">
        <v>6</v>
      </c>
      <c r="C47" s="47" t="s">
        <v>106</v>
      </c>
      <c r="D47" s="47" t="s">
        <v>94</v>
      </c>
      <c r="E47" s="48" t="n">
        <f aca="false">IF('Mes calories'!$C$9="","",'Mes calories'!$C$9+36)</f>
        <v>46336</v>
      </c>
      <c r="F47" s="49" t="s">
        <v>20</v>
      </c>
      <c r="G47" s="47" t="s">
        <v>95</v>
      </c>
      <c r="H47" s="9"/>
      <c r="I47" s="9"/>
      <c r="J47" s="9"/>
      <c r="K47" s="9"/>
      <c r="L47" s="9"/>
      <c r="M47" s="45" t="str">
        <f aca="false">COUNTIF(H47:L47,"✓")&amp;"/"&amp;5</f>
        <v>0/5</v>
      </c>
      <c r="N47" s="0" t="n">
        <v>1</v>
      </c>
    </row>
    <row r="48" customFormat="false" ht="15" hidden="false" customHeight="false" outlineLevel="0" collapsed="false">
      <c r="B48" s="47" t="n">
        <v>6</v>
      </c>
      <c r="C48" s="47" t="s">
        <v>106</v>
      </c>
      <c r="D48" s="47" t="s">
        <v>96</v>
      </c>
      <c r="E48" s="48" t="n">
        <f aca="false">IF('Mes calories'!$C$9="","",'Mes calories'!$C$9+37)</f>
        <v>46337</v>
      </c>
      <c r="F48" s="49" t="s">
        <v>97</v>
      </c>
      <c r="G48" s="47" t="s">
        <v>98</v>
      </c>
      <c r="H48" s="9"/>
      <c r="I48" s="9"/>
      <c r="J48" s="9"/>
      <c r="K48" s="9"/>
      <c r="L48" s="9"/>
      <c r="M48" s="45" t="str">
        <f aca="false">COUNTIF(H48:L48,"✓")&amp;"/"&amp;5</f>
        <v>0/5</v>
      </c>
      <c r="N48" s="0" t="n">
        <v>1</v>
      </c>
    </row>
    <row r="49" customFormat="false" ht="15" hidden="false" customHeight="false" outlineLevel="0" collapsed="false">
      <c r="B49" s="47" t="n">
        <v>6</v>
      </c>
      <c r="C49" s="47" t="s">
        <v>106</v>
      </c>
      <c r="D49" s="47" t="s">
        <v>99</v>
      </c>
      <c r="E49" s="48" t="n">
        <f aca="false">IF('Mes calories'!$C$9="","",'Mes calories'!$C$9+38)</f>
        <v>46338</v>
      </c>
      <c r="F49" s="49" t="s">
        <v>24</v>
      </c>
      <c r="G49" s="47" t="s">
        <v>100</v>
      </c>
      <c r="H49" s="9"/>
      <c r="I49" s="9"/>
      <c r="J49" s="9"/>
      <c r="K49" s="9"/>
      <c r="L49" s="9"/>
      <c r="M49" s="45" t="str">
        <f aca="false">COUNTIF(H49:L49,"✓")&amp;"/"&amp;5</f>
        <v>0/5</v>
      </c>
      <c r="N49" s="0" t="n">
        <v>1</v>
      </c>
    </row>
    <row r="50" customFormat="false" ht="15" hidden="false" customHeight="false" outlineLevel="0" collapsed="false">
      <c r="B50" s="47" t="n">
        <v>6</v>
      </c>
      <c r="C50" s="47" t="s">
        <v>106</v>
      </c>
      <c r="D50" s="47" t="s">
        <v>101</v>
      </c>
      <c r="E50" s="48" t="n">
        <f aca="false">IF('Mes calories'!$C$9="","",'Mes calories'!$C$9+39)</f>
        <v>46339</v>
      </c>
      <c r="F50" s="49" t="s">
        <v>26</v>
      </c>
      <c r="G50" s="47" t="s">
        <v>93</v>
      </c>
      <c r="H50" s="9"/>
      <c r="I50" s="9"/>
      <c r="J50" s="9"/>
      <c r="K50" s="9"/>
      <c r="L50" s="9"/>
      <c r="M50" s="45" t="str">
        <f aca="false">COUNTIF(H50:L50,"✓")&amp;"/"&amp;5</f>
        <v>0/5</v>
      </c>
      <c r="N50" s="0" t="n">
        <v>1</v>
      </c>
    </row>
    <row r="51" customFormat="false" ht="15" hidden="false" customHeight="false" outlineLevel="0" collapsed="false">
      <c r="B51" s="47" t="n">
        <v>6</v>
      </c>
      <c r="C51" s="47" t="s">
        <v>106</v>
      </c>
      <c r="D51" s="47" t="s">
        <v>102</v>
      </c>
      <c r="E51" s="48" t="n">
        <f aca="false">IF('Mes calories'!$C$9="","",'Mes calories'!$C$9+40)</f>
        <v>46340</v>
      </c>
      <c r="F51" s="49" t="s">
        <v>28</v>
      </c>
      <c r="G51" s="47" t="s">
        <v>100</v>
      </c>
      <c r="H51" s="9"/>
      <c r="I51" s="9"/>
      <c r="J51" s="9"/>
      <c r="K51" s="9"/>
      <c r="L51" s="9"/>
      <c r="M51" s="45" t="str">
        <f aca="false">COUNTIF(H51:L51,"✓")&amp;"/"&amp;5</f>
        <v>0/5</v>
      </c>
      <c r="N51" s="0" t="n">
        <v>1</v>
      </c>
    </row>
    <row r="52" customFormat="false" ht="15" hidden="false" customHeight="false" outlineLevel="0" collapsed="false">
      <c r="B52" s="47" t="n">
        <v>6</v>
      </c>
      <c r="C52" s="47" t="s">
        <v>106</v>
      </c>
      <c r="D52" s="47" t="s">
        <v>103</v>
      </c>
      <c r="E52" s="48" t="n">
        <f aca="false">IF('Mes calories'!$C$9="","",'Mes calories'!$C$9+41)</f>
        <v>46341</v>
      </c>
      <c r="F52" s="49" t="s">
        <v>30</v>
      </c>
      <c r="G52" s="47" t="s">
        <v>104</v>
      </c>
      <c r="H52" s="50" t="s">
        <v>104</v>
      </c>
      <c r="I52" s="9"/>
      <c r="J52" s="9"/>
      <c r="K52" s="9"/>
      <c r="L52" s="9"/>
      <c r="M52" s="45" t="str">
        <f aca="false">COUNTIF(H52:L52,"✓")&amp;"/"&amp;4</f>
        <v>0/4</v>
      </c>
      <c r="N52" s="0" t="n">
        <v>0</v>
      </c>
    </row>
    <row r="53" customFormat="false" ht="15" hidden="false" customHeight="false" outlineLevel="0" collapsed="false">
      <c r="B53" s="42" t="n">
        <v>7</v>
      </c>
      <c r="C53" s="42" t="s">
        <v>106</v>
      </c>
      <c r="D53" s="42" t="s">
        <v>92</v>
      </c>
      <c r="E53" s="43" t="n">
        <f aca="false">IF('Mes calories'!$C$9="","",'Mes calories'!$C$9+42)</f>
        <v>46342</v>
      </c>
      <c r="F53" s="44" t="s">
        <v>18</v>
      </c>
      <c r="G53" s="42" t="s">
        <v>93</v>
      </c>
      <c r="H53" s="9"/>
      <c r="I53" s="9"/>
      <c r="J53" s="9"/>
      <c r="K53" s="9"/>
      <c r="L53" s="9"/>
      <c r="M53" s="45" t="str">
        <f aca="false">COUNTIF(H53:L53,"✓")&amp;"/"&amp;5</f>
        <v>0/5</v>
      </c>
      <c r="N53" s="0" t="n">
        <v>1</v>
      </c>
    </row>
    <row r="54" customFormat="false" ht="15" hidden="false" customHeight="false" outlineLevel="0" collapsed="false">
      <c r="B54" s="42" t="n">
        <v>7</v>
      </c>
      <c r="C54" s="42" t="s">
        <v>106</v>
      </c>
      <c r="D54" s="42" t="s">
        <v>94</v>
      </c>
      <c r="E54" s="43" t="n">
        <f aca="false">IF('Mes calories'!$C$9="","",'Mes calories'!$C$9+43)</f>
        <v>46343</v>
      </c>
      <c r="F54" s="44" t="s">
        <v>20</v>
      </c>
      <c r="G54" s="42" t="s">
        <v>95</v>
      </c>
      <c r="H54" s="9"/>
      <c r="I54" s="9"/>
      <c r="J54" s="9"/>
      <c r="K54" s="9"/>
      <c r="L54" s="9"/>
      <c r="M54" s="45" t="str">
        <f aca="false">COUNTIF(H54:L54,"✓")&amp;"/"&amp;5</f>
        <v>0/5</v>
      </c>
      <c r="N54" s="0" t="n">
        <v>1</v>
      </c>
    </row>
    <row r="55" customFormat="false" ht="15" hidden="false" customHeight="false" outlineLevel="0" collapsed="false">
      <c r="B55" s="42" t="n">
        <v>7</v>
      </c>
      <c r="C55" s="42" t="s">
        <v>106</v>
      </c>
      <c r="D55" s="42" t="s">
        <v>96</v>
      </c>
      <c r="E55" s="43" t="n">
        <f aca="false">IF('Mes calories'!$C$9="","",'Mes calories'!$C$9+44)</f>
        <v>46344</v>
      </c>
      <c r="F55" s="44" t="s">
        <v>97</v>
      </c>
      <c r="G55" s="42" t="s">
        <v>98</v>
      </c>
      <c r="H55" s="9"/>
      <c r="I55" s="9"/>
      <c r="J55" s="9"/>
      <c r="K55" s="9"/>
      <c r="L55" s="9"/>
      <c r="M55" s="45" t="str">
        <f aca="false">COUNTIF(H55:L55,"✓")&amp;"/"&amp;5</f>
        <v>0/5</v>
      </c>
      <c r="N55" s="0" t="n">
        <v>1</v>
      </c>
    </row>
    <row r="56" customFormat="false" ht="15" hidden="false" customHeight="false" outlineLevel="0" collapsed="false">
      <c r="B56" s="42" t="n">
        <v>7</v>
      </c>
      <c r="C56" s="42" t="s">
        <v>106</v>
      </c>
      <c r="D56" s="42" t="s">
        <v>99</v>
      </c>
      <c r="E56" s="43" t="n">
        <f aca="false">IF('Mes calories'!$C$9="","",'Mes calories'!$C$9+45)</f>
        <v>46345</v>
      </c>
      <c r="F56" s="44" t="s">
        <v>24</v>
      </c>
      <c r="G56" s="42" t="s">
        <v>100</v>
      </c>
      <c r="H56" s="9"/>
      <c r="I56" s="9"/>
      <c r="J56" s="9"/>
      <c r="K56" s="9"/>
      <c r="L56" s="9"/>
      <c r="M56" s="45" t="str">
        <f aca="false">COUNTIF(H56:L56,"✓")&amp;"/"&amp;5</f>
        <v>0/5</v>
      </c>
      <c r="N56" s="0" t="n">
        <v>1</v>
      </c>
    </row>
    <row r="57" customFormat="false" ht="15" hidden="false" customHeight="false" outlineLevel="0" collapsed="false">
      <c r="B57" s="42" t="n">
        <v>7</v>
      </c>
      <c r="C57" s="42" t="s">
        <v>106</v>
      </c>
      <c r="D57" s="42" t="s">
        <v>101</v>
      </c>
      <c r="E57" s="43" t="n">
        <f aca="false">IF('Mes calories'!$C$9="","",'Mes calories'!$C$9+46)</f>
        <v>46346</v>
      </c>
      <c r="F57" s="44" t="s">
        <v>26</v>
      </c>
      <c r="G57" s="42" t="s">
        <v>93</v>
      </c>
      <c r="H57" s="9"/>
      <c r="I57" s="9"/>
      <c r="J57" s="9"/>
      <c r="K57" s="9"/>
      <c r="L57" s="9"/>
      <c r="M57" s="45" t="str">
        <f aca="false">COUNTIF(H57:L57,"✓")&amp;"/"&amp;5</f>
        <v>0/5</v>
      </c>
      <c r="N57" s="0" t="n">
        <v>1</v>
      </c>
    </row>
    <row r="58" customFormat="false" ht="15" hidden="false" customHeight="false" outlineLevel="0" collapsed="false">
      <c r="B58" s="42" t="n">
        <v>7</v>
      </c>
      <c r="C58" s="42" t="s">
        <v>106</v>
      </c>
      <c r="D58" s="42" t="s">
        <v>102</v>
      </c>
      <c r="E58" s="43" t="n">
        <f aca="false">IF('Mes calories'!$C$9="","",'Mes calories'!$C$9+47)</f>
        <v>46347</v>
      </c>
      <c r="F58" s="44" t="s">
        <v>28</v>
      </c>
      <c r="G58" s="42" t="s">
        <v>100</v>
      </c>
      <c r="H58" s="9"/>
      <c r="I58" s="9"/>
      <c r="J58" s="9"/>
      <c r="K58" s="9"/>
      <c r="L58" s="9"/>
      <c r="M58" s="45" t="str">
        <f aca="false">COUNTIF(H58:L58,"✓")&amp;"/"&amp;5</f>
        <v>0/5</v>
      </c>
      <c r="N58" s="0" t="n">
        <v>1</v>
      </c>
    </row>
    <row r="59" customFormat="false" ht="15" hidden="false" customHeight="false" outlineLevel="0" collapsed="false">
      <c r="B59" s="42" t="n">
        <v>7</v>
      </c>
      <c r="C59" s="42" t="s">
        <v>106</v>
      </c>
      <c r="D59" s="42" t="s">
        <v>103</v>
      </c>
      <c r="E59" s="43" t="n">
        <f aca="false">IF('Mes calories'!$C$9="","",'Mes calories'!$C$9+48)</f>
        <v>46348</v>
      </c>
      <c r="F59" s="44" t="s">
        <v>30</v>
      </c>
      <c r="G59" s="42" t="s">
        <v>104</v>
      </c>
      <c r="H59" s="46" t="s">
        <v>104</v>
      </c>
      <c r="I59" s="9"/>
      <c r="J59" s="9"/>
      <c r="K59" s="9"/>
      <c r="L59" s="9"/>
      <c r="M59" s="45" t="str">
        <f aca="false">COUNTIF(H59:L59,"✓")&amp;"/"&amp;4</f>
        <v>0/4</v>
      </c>
      <c r="N59" s="0" t="n">
        <v>0</v>
      </c>
    </row>
    <row r="60" customFormat="false" ht="15" hidden="false" customHeight="false" outlineLevel="0" collapsed="false">
      <c r="B60" s="47" t="n">
        <v>8</v>
      </c>
      <c r="C60" s="47" t="s">
        <v>106</v>
      </c>
      <c r="D60" s="47" t="s">
        <v>92</v>
      </c>
      <c r="E60" s="48" t="n">
        <f aca="false">IF('Mes calories'!$C$9="","",'Mes calories'!$C$9+49)</f>
        <v>46349</v>
      </c>
      <c r="F60" s="49" t="s">
        <v>18</v>
      </c>
      <c r="G60" s="47" t="s">
        <v>93</v>
      </c>
      <c r="H60" s="9"/>
      <c r="I60" s="9"/>
      <c r="J60" s="9"/>
      <c r="K60" s="9"/>
      <c r="L60" s="9"/>
      <c r="M60" s="45" t="str">
        <f aca="false">COUNTIF(H60:L60,"✓")&amp;"/"&amp;5</f>
        <v>0/5</v>
      </c>
      <c r="N60" s="0" t="n">
        <v>1</v>
      </c>
    </row>
    <row r="61" customFormat="false" ht="15" hidden="false" customHeight="false" outlineLevel="0" collapsed="false">
      <c r="B61" s="47" t="n">
        <v>8</v>
      </c>
      <c r="C61" s="47" t="s">
        <v>106</v>
      </c>
      <c r="D61" s="47" t="s">
        <v>94</v>
      </c>
      <c r="E61" s="48" t="n">
        <f aca="false">IF('Mes calories'!$C$9="","",'Mes calories'!$C$9+50)</f>
        <v>46350</v>
      </c>
      <c r="F61" s="49" t="s">
        <v>20</v>
      </c>
      <c r="G61" s="47" t="s">
        <v>95</v>
      </c>
      <c r="H61" s="9"/>
      <c r="I61" s="9"/>
      <c r="J61" s="9"/>
      <c r="K61" s="9"/>
      <c r="L61" s="9"/>
      <c r="M61" s="45" t="str">
        <f aca="false">COUNTIF(H61:L61,"✓")&amp;"/"&amp;5</f>
        <v>0/5</v>
      </c>
      <c r="N61" s="0" t="n">
        <v>1</v>
      </c>
    </row>
    <row r="62" customFormat="false" ht="15" hidden="false" customHeight="false" outlineLevel="0" collapsed="false">
      <c r="B62" s="47" t="n">
        <v>8</v>
      </c>
      <c r="C62" s="47" t="s">
        <v>106</v>
      </c>
      <c r="D62" s="47" t="s">
        <v>96</v>
      </c>
      <c r="E62" s="48" t="n">
        <f aca="false">IF('Mes calories'!$C$9="","",'Mes calories'!$C$9+51)</f>
        <v>46351</v>
      </c>
      <c r="F62" s="49" t="s">
        <v>97</v>
      </c>
      <c r="G62" s="47" t="s">
        <v>98</v>
      </c>
      <c r="H62" s="9"/>
      <c r="I62" s="9"/>
      <c r="J62" s="9"/>
      <c r="K62" s="9"/>
      <c r="L62" s="9"/>
      <c r="M62" s="45" t="str">
        <f aca="false">COUNTIF(H62:L62,"✓")&amp;"/"&amp;5</f>
        <v>0/5</v>
      </c>
      <c r="N62" s="0" t="n">
        <v>1</v>
      </c>
    </row>
    <row r="63" customFormat="false" ht="15" hidden="false" customHeight="false" outlineLevel="0" collapsed="false">
      <c r="B63" s="47" t="n">
        <v>8</v>
      </c>
      <c r="C63" s="47" t="s">
        <v>106</v>
      </c>
      <c r="D63" s="47" t="s">
        <v>99</v>
      </c>
      <c r="E63" s="48" t="n">
        <f aca="false">IF('Mes calories'!$C$9="","",'Mes calories'!$C$9+52)</f>
        <v>46352</v>
      </c>
      <c r="F63" s="49" t="s">
        <v>24</v>
      </c>
      <c r="G63" s="47" t="s">
        <v>100</v>
      </c>
      <c r="H63" s="9"/>
      <c r="I63" s="9"/>
      <c r="J63" s="9"/>
      <c r="K63" s="9"/>
      <c r="L63" s="9"/>
      <c r="M63" s="45" t="str">
        <f aca="false">COUNTIF(H63:L63,"✓")&amp;"/"&amp;5</f>
        <v>0/5</v>
      </c>
      <c r="N63" s="0" t="n">
        <v>1</v>
      </c>
    </row>
    <row r="64" customFormat="false" ht="15" hidden="false" customHeight="false" outlineLevel="0" collapsed="false">
      <c r="B64" s="47" t="n">
        <v>8</v>
      </c>
      <c r="C64" s="47" t="s">
        <v>106</v>
      </c>
      <c r="D64" s="47" t="s">
        <v>101</v>
      </c>
      <c r="E64" s="48" t="n">
        <f aca="false">IF('Mes calories'!$C$9="","",'Mes calories'!$C$9+53)</f>
        <v>46353</v>
      </c>
      <c r="F64" s="49" t="s">
        <v>26</v>
      </c>
      <c r="G64" s="47" t="s">
        <v>93</v>
      </c>
      <c r="H64" s="9"/>
      <c r="I64" s="9"/>
      <c r="J64" s="9"/>
      <c r="K64" s="9"/>
      <c r="L64" s="9"/>
      <c r="M64" s="45" t="str">
        <f aca="false">COUNTIF(H64:L64,"✓")&amp;"/"&amp;5</f>
        <v>0/5</v>
      </c>
      <c r="N64" s="0" t="n">
        <v>1</v>
      </c>
    </row>
    <row r="65" customFormat="false" ht="15" hidden="false" customHeight="false" outlineLevel="0" collapsed="false">
      <c r="B65" s="47" t="n">
        <v>8</v>
      </c>
      <c r="C65" s="47" t="s">
        <v>106</v>
      </c>
      <c r="D65" s="47" t="s">
        <v>102</v>
      </c>
      <c r="E65" s="48" t="n">
        <f aca="false">IF('Mes calories'!$C$9="","",'Mes calories'!$C$9+54)</f>
        <v>46354</v>
      </c>
      <c r="F65" s="49" t="s">
        <v>28</v>
      </c>
      <c r="G65" s="47" t="s">
        <v>100</v>
      </c>
      <c r="H65" s="9"/>
      <c r="I65" s="9"/>
      <c r="J65" s="9"/>
      <c r="K65" s="9"/>
      <c r="L65" s="9"/>
      <c r="M65" s="45" t="str">
        <f aca="false">COUNTIF(H65:L65,"✓")&amp;"/"&amp;5</f>
        <v>0/5</v>
      </c>
      <c r="N65" s="0" t="n">
        <v>1</v>
      </c>
    </row>
    <row r="66" customFormat="false" ht="15" hidden="false" customHeight="false" outlineLevel="0" collapsed="false">
      <c r="B66" s="47" t="n">
        <v>8</v>
      </c>
      <c r="C66" s="47" t="s">
        <v>106</v>
      </c>
      <c r="D66" s="47" t="s">
        <v>103</v>
      </c>
      <c r="E66" s="48" t="n">
        <f aca="false">IF('Mes calories'!$C$9="","",'Mes calories'!$C$9+55)</f>
        <v>46355</v>
      </c>
      <c r="F66" s="49" t="s">
        <v>30</v>
      </c>
      <c r="G66" s="47" t="s">
        <v>104</v>
      </c>
      <c r="H66" s="50" t="s">
        <v>104</v>
      </c>
      <c r="I66" s="9"/>
      <c r="J66" s="9"/>
      <c r="K66" s="9"/>
      <c r="L66" s="9"/>
      <c r="M66" s="45" t="str">
        <f aca="false">COUNTIF(H66:L66,"✓")&amp;"/"&amp;4</f>
        <v>0/4</v>
      </c>
      <c r="N66" s="0" t="n">
        <v>0</v>
      </c>
    </row>
  </sheetData>
  <mergeCells count="6">
    <mergeCell ref="B7:E7"/>
    <mergeCell ref="F7:I7"/>
    <mergeCell ref="J7:M7"/>
    <mergeCell ref="B8:E8"/>
    <mergeCell ref="F8:I8"/>
    <mergeCell ref="J8:M8"/>
  </mergeCells>
  <conditionalFormatting sqref="B11:G66">
    <cfRule type="expression" priority="2" aboveAverage="0" equalAverage="0" bottom="0" percent="0" rank="0" text="" dxfId="0">
      <formula>$H11="✓"</formula>
    </cfRule>
  </conditionalFormatting>
  <conditionalFormatting sqref="H11:L66">
    <cfRule type="expression" priority="3" aboveAverage="0" equalAverage="0" bottom="0" percent="0" rank="0" text="" dxfId="0">
      <formula>H11="✓"</formula>
    </cfRule>
  </conditionalFormatting>
  <dataValidations count="1">
    <dataValidation allowBlank="true" errorStyle="stop" operator="between" showDropDown="false" showErrorMessage="false" showInputMessage="false" sqref="H11:L66" type="list">
      <formula1>"✓"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2D"/>
    <pageSetUpPr fitToPage="true"/>
  </sheetPr>
  <dimension ref="B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6"/>
  </cols>
  <sheetData>
    <row r="1" customFormat="false" ht="9.75" hidden="false" customHeight="true" outlineLevel="0" collapsed="false"/>
    <row r="2" customFormat="false" ht="15" hidden="false" customHeight="false" outlineLevel="0" collapsed="false">
      <c r="B2" s="18" t="s">
        <v>0</v>
      </c>
    </row>
    <row r="3" customFormat="false" ht="33.75" hidden="false" customHeight="true" outlineLevel="0" collapsed="false">
      <c r="B3" s="19" t="s">
        <v>107</v>
      </c>
    </row>
    <row r="4" customFormat="false" ht="15" hidden="false" customHeight="false" outlineLevel="0" collapsed="false">
      <c r="B4" s="20" t="s">
        <v>108</v>
      </c>
    </row>
    <row r="5" customFormat="false" ht="15" hidden="false" customHeight="false" outlineLevel="0" collapsed="false">
      <c r="B5" s="4"/>
      <c r="C5" s="4"/>
      <c r="D5" s="4"/>
      <c r="E5" s="4"/>
      <c r="F5" s="4"/>
    </row>
    <row r="7" customFormat="false" ht="21.75" hidden="false" customHeight="true" outlineLevel="0" collapsed="false">
      <c r="B7" s="51" t="s">
        <v>109</v>
      </c>
      <c r="C7" s="15"/>
      <c r="D7" s="15"/>
      <c r="E7" s="15"/>
      <c r="F7" s="15"/>
    </row>
    <row r="8" customFormat="false" ht="30" hidden="false" customHeight="true" outlineLevel="0" collapsed="false">
      <c r="B8" s="52" t="s">
        <v>110</v>
      </c>
      <c r="C8" s="52"/>
      <c r="D8" s="52"/>
      <c r="E8" s="52"/>
      <c r="F8" s="52"/>
    </row>
    <row r="10" customFormat="false" ht="21.75" hidden="false" customHeight="true" outlineLevel="0" collapsed="false">
      <c r="B10" s="53" t="s">
        <v>111</v>
      </c>
      <c r="C10" s="6"/>
      <c r="D10" s="6"/>
      <c r="E10" s="6"/>
      <c r="F10" s="6"/>
    </row>
    <row r="11" customFormat="false" ht="15" hidden="false" customHeight="false" outlineLevel="0" collapsed="false">
      <c r="B11" s="54" t="s">
        <v>112</v>
      </c>
      <c r="C11" s="55" t="s">
        <v>113</v>
      </c>
      <c r="D11" s="55" t="s">
        <v>114</v>
      </c>
      <c r="E11" s="55" t="s">
        <v>115</v>
      </c>
      <c r="F11" s="54" t="s">
        <v>116</v>
      </c>
    </row>
    <row r="12" customFormat="false" ht="30" hidden="false" customHeight="true" outlineLevel="0" collapsed="false">
      <c r="B12" s="56" t="s">
        <v>117</v>
      </c>
      <c r="C12" s="57" t="s">
        <v>118</v>
      </c>
      <c r="D12" s="57" t="s">
        <v>119</v>
      </c>
      <c r="E12" s="57" t="s">
        <v>120</v>
      </c>
      <c r="F12" s="58" t="s">
        <v>121</v>
      </c>
    </row>
    <row r="13" customFormat="false" ht="30" hidden="false" customHeight="true" outlineLevel="0" collapsed="false">
      <c r="B13" s="56" t="s">
        <v>122</v>
      </c>
      <c r="C13" s="57" t="s">
        <v>123</v>
      </c>
      <c r="D13" s="57" t="s">
        <v>124</v>
      </c>
      <c r="E13" s="57" t="s">
        <v>125</v>
      </c>
      <c r="F13" s="58" t="s">
        <v>126</v>
      </c>
    </row>
    <row r="14" customFormat="false" ht="30" hidden="false" customHeight="true" outlineLevel="0" collapsed="false">
      <c r="B14" s="56" t="s">
        <v>127</v>
      </c>
      <c r="C14" s="57" t="s">
        <v>128</v>
      </c>
      <c r="D14" s="57" t="s">
        <v>129</v>
      </c>
      <c r="E14" s="57" t="s">
        <v>130</v>
      </c>
      <c r="F14" s="58" t="s">
        <v>131</v>
      </c>
    </row>
    <row r="15" customFormat="false" ht="30" hidden="false" customHeight="true" outlineLevel="0" collapsed="false">
      <c r="B15" s="56" t="s">
        <v>132</v>
      </c>
      <c r="C15" s="57" t="s">
        <v>133</v>
      </c>
      <c r="D15" s="57" t="s">
        <v>134</v>
      </c>
      <c r="E15" s="57" t="s">
        <v>135</v>
      </c>
      <c r="F15" s="58" t="s">
        <v>136</v>
      </c>
    </row>
    <row r="16" customFormat="false" ht="30" hidden="false" customHeight="true" outlineLevel="0" collapsed="false">
      <c r="B16" s="56" t="s">
        <v>137</v>
      </c>
      <c r="C16" s="57" t="s">
        <v>133</v>
      </c>
      <c r="D16" s="57" t="s">
        <v>138</v>
      </c>
      <c r="E16" s="57" t="s">
        <v>139</v>
      </c>
      <c r="F16" s="58" t="s">
        <v>140</v>
      </c>
    </row>
    <row r="17" customFormat="false" ht="30" hidden="false" customHeight="true" outlineLevel="0" collapsed="false">
      <c r="B17" s="56" t="s">
        <v>141</v>
      </c>
      <c r="C17" s="57" t="s">
        <v>142</v>
      </c>
      <c r="D17" s="57" t="s">
        <v>143</v>
      </c>
      <c r="E17" s="57" t="s">
        <v>144</v>
      </c>
      <c r="F17" s="58" t="s">
        <v>145</v>
      </c>
    </row>
    <row r="18" customFormat="false" ht="30" hidden="false" customHeight="true" outlineLevel="0" collapsed="false">
      <c r="B18" s="59" t="s">
        <v>146</v>
      </c>
      <c r="C18" s="60" t="s">
        <v>147</v>
      </c>
      <c r="D18" s="60" t="s">
        <v>148</v>
      </c>
      <c r="E18" s="60" t="s">
        <v>148</v>
      </c>
      <c r="F18" s="61"/>
    </row>
    <row r="20" customFormat="false" ht="21.75" hidden="false" customHeight="true" outlineLevel="0" collapsed="false">
      <c r="B20" s="53" t="s">
        <v>149</v>
      </c>
      <c r="C20" s="6"/>
      <c r="D20" s="6"/>
      <c r="E20" s="6"/>
      <c r="F20" s="6"/>
    </row>
    <row r="21" customFormat="false" ht="15" hidden="false" customHeight="false" outlineLevel="0" collapsed="false">
      <c r="B21" s="54" t="s">
        <v>112</v>
      </c>
      <c r="C21" s="55" t="s">
        <v>113</v>
      </c>
      <c r="D21" s="55" t="s">
        <v>114</v>
      </c>
      <c r="E21" s="55" t="s">
        <v>115</v>
      </c>
      <c r="F21" s="54" t="s">
        <v>116</v>
      </c>
    </row>
    <row r="22" customFormat="false" ht="30" hidden="false" customHeight="true" outlineLevel="0" collapsed="false">
      <c r="B22" s="56" t="s">
        <v>150</v>
      </c>
      <c r="C22" s="57" t="s">
        <v>151</v>
      </c>
      <c r="D22" s="57" t="s">
        <v>152</v>
      </c>
      <c r="E22" s="57" t="s">
        <v>153</v>
      </c>
      <c r="F22" s="58" t="s">
        <v>154</v>
      </c>
    </row>
    <row r="23" customFormat="false" ht="30" hidden="false" customHeight="true" outlineLevel="0" collapsed="false">
      <c r="B23" s="56" t="s">
        <v>155</v>
      </c>
      <c r="C23" s="57" t="s">
        <v>156</v>
      </c>
      <c r="D23" s="57" t="s">
        <v>157</v>
      </c>
      <c r="E23" s="57" t="s">
        <v>158</v>
      </c>
      <c r="F23" s="58" t="s">
        <v>159</v>
      </c>
    </row>
    <row r="24" customFormat="false" ht="30" hidden="false" customHeight="true" outlineLevel="0" collapsed="false">
      <c r="B24" s="56" t="s">
        <v>160</v>
      </c>
      <c r="C24" s="57" t="s">
        <v>161</v>
      </c>
      <c r="D24" s="57" t="s">
        <v>123</v>
      </c>
      <c r="E24" s="57" t="s">
        <v>162</v>
      </c>
      <c r="F24" s="58" t="s">
        <v>163</v>
      </c>
    </row>
    <row r="25" customFormat="false" ht="30" hidden="false" customHeight="true" outlineLevel="0" collapsed="false">
      <c r="B25" s="56" t="s">
        <v>164</v>
      </c>
      <c r="C25" s="57" t="s">
        <v>165</v>
      </c>
      <c r="D25" s="57" t="s">
        <v>166</v>
      </c>
      <c r="E25" s="57" t="s">
        <v>167</v>
      </c>
      <c r="F25" s="58" t="s">
        <v>168</v>
      </c>
    </row>
    <row r="26" customFormat="false" ht="30" hidden="false" customHeight="true" outlineLevel="0" collapsed="false">
      <c r="B26" s="56" t="s">
        <v>169</v>
      </c>
      <c r="C26" s="57" t="s">
        <v>151</v>
      </c>
      <c r="D26" s="57" t="s">
        <v>152</v>
      </c>
      <c r="E26" s="57" t="s">
        <v>170</v>
      </c>
      <c r="F26" s="58" t="s">
        <v>171</v>
      </c>
    </row>
    <row r="27" customFormat="false" ht="30" hidden="false" customHeight="true" outlineLevel="0" collapsed="false">
      <c r="B27" s="56" t="s">
        <v>172</v>
      </c>
      <c r="C27" s="57" t="s">
        <v>156</v>
      </c>
      <c r="D27" s="57" t="s">
        <v>142</v>
      </c>
      <c r="E27" s="57" t="s">
        <v>173</v>
      </c>
      <c r="F27" s="58" t="s">
        <v>174</v>
      </c>
    </row>
    <row r="28" customFormat="false" ht="30" hidden="false" customHeight="true" outlineLevel="0" collapsed="false">
      <c r="B28" s="59" t="s">
        <v>146</v>
      </c>
      <c r="C28" s="60" t="s">
        <v>148</v>
      </c>
      <c r="D28" s="60" t="s">
        <v>175</v>
      </c>
      <c r="E28" s="60" t="s">
        <v>176</v>
      </c>
      <c r="F28" s="61"/>
    </row>
    <row r="30" customFormat="false" ht="21.75" hidden="false" customHeight="true" outlineLevel="0" collapsed="false">
      <c r="B30" s="53" t="s">
        <v>177</v>
      </c>
      <c r="C30" s="6"/>
      <c r="D30" s="6"/>
      <c r="E30" s="6"/>
      <c r="F30" s="6"/>
    </row>
    <row r="31" customFormat="false" ht="15" hidden="false" customHeight="false" outlineLevel="0" collapsed="false">
      <c r="B31" s="54" t="s">
        <v>112</v>
      </c>
      <c r="C31" s="55" t="s">
        <v>113</v>
      </c>
      <c r="D31" s="55" t="s">
        <v>114</v>
      </c>
      <c r="E31" s="55" t="s">
        <v>115</v>
      </c>
      <c r="F31" s="54" t="s">
        <v>116</v>
      </c>
    </row>
    <row r="32" customFormat="false" ht="30" hidden="false" customHeight="true" outlineLevel="0" collapsed="false">
      <c r="B32" s="56" t="s">
        <v>178</v>
      </c>
      <c r="C32" s="57" t="s">
        <v>179</v>
      </c>
      <c r="D32" s="57" t="s">
        <v>180</v>
      </c>
      <c r="E32" s="57" t="s">
        <v>181</v>
      </c>
      <c r="F32" s="58" t="s">
        <v>182</v>
      </c>
    </row>
    <row r="33" customFormat="false" ht="30" hidden="false" customHeight="true" outlineLevel="0" collapsed="false">
      <c r="B33" s="56" t="s">
        <v>183</v>
      </c>
      <c r="C33" s="57" t="s">
        <v>184</v>
      </c>
      <c r="D33" s="57" t="s">
        <v>185</v>
      </c>
      <c r="E33" s="57" t="s">
        <v>186</v>
      </c>
      <c r="F33" s="58" t="s">
        <v>187</v>
      </c>
    </row>
    <row r="34" customFormat="false" ht="30" hidden="false" customHeight="true" outlineLevel="0" collapsed="false">
      <c r="B34" s="56" t="s">
        <v>188</v>
      </c>
      <c r="C34" s="57" t="s">
        <v>189</v>
      </c>
      <c r="D34" s="57" t="s">
        <v>190</v>
      </c>
      <c r="E34" s="57" t="s">
        <v>191</v>
      </c>
      <c r="F34" s="58" t="s">
        <v>192</v>
      </c>
    </row>
    <row r="35" customFormat="false" ht="30" hidden="false" customHeight="true" outlineLevel="0" collapsed="false">
      <c r="B35" s="56" t="s">
        <v>193</v>
      </c>
      <c r="C35" s="57" t="s">
        <v>194</v>
      </c>
      <c r="D35" s="57" t="s">
        <v>193</v>
      </c>
      <c r="E35" s="57" t="s">
        <v>195</v>
      </c>
      <c r="F35" s="58" t="s">
        <v>196</v>
      </c>
    </row>
    <row r="36" customFormat="false" ht="30" hidden="false" customHeight="true" outlineLevel="0" collapsed="false">
      <c r="B36" s="56" t="s">
        <v>197</v>
      </c>
      <c r="C36" s="57" t="s">
        <v>198</v>
      </c>
      <c r="D36" s="57" t="s">
        <v>199</v>
      </c>
      <c r="E36" s="57" t="s">
        <v>200</v>
      </c>
      <c r="F36" s="58" t="s">
        <v>201</v>
      </c>
    </row>
    <row r="37" customFormat="false" ht="30" hidden="false" customHeight="true" outlineLevel="0" collapsed="false">
      <c r="B37" s="56" t="s">
        <v>202</v>
      </c>
      <c r="C37" s="57" t="s">
        <v>203</v>
      </c>
      <c r="D37" s="57" t="s">
        <v>202</v>
      </c>
      <c r="E37" s="57" t="s">
        <v>204</v>
      </c>
      <c r="F37" s="58" t="s">
        <v>205</v>
      </c>
    </row>
    <row r="38" customFormat="false" ht="30" hidden="false" customHeight="true" outlineLevel="0" collapsed="false">
      <c r="B38" s="56" t="s">
        <v>206</v>
      </c>
      <c r="C38" s="57" t="s">
        <v>207</v>
      </c>
      <c r="D38" s="57" t="s">
        <v>208</v>
      </c>
      <c r="E38" s="57" t="s">
        <v>209</v>
      </c>
      <c r="F38" s="58" t="s">
        <v>210</v>
      </c>
    </row>
    <row r="40" customFormat="false" ht="21.75" hidden="false" customHeight="true" outlineLevel="0" collapsed="false">
      <c r="B40" s="53" t="s">
        <v>211</v>
      </c>
      <c r="C40" s="6"/>
      <c r="D40" s="6"/>
      <c r="E40" s="6"/>
      <c r="F40" s="6"/>
    </row>
    <row r="41" customFormat="false" ht="15" hidden="false" customHeight="false" outlineLevel="0" collapsed="false">
      <c r="B41" s="54" t="s">
        <v>112</v>
      </c>
      <c r="C41" s="55" t="s">
        <v>113</v>
      </c>
      <c r="D41" s="55" t="s">
        <v>114</v>
      </c>
      <c r="E41" s="55" t="s">
        <v>115</v>
      </c>
      <c r="F41" s="54" t="s">
        <v>116</v>
      </c>
    </row>
    <row r="42" customFormat="false" ht="30" hidden="false" customHeight="true" outlineLevel="0" collapsed="false">
      <c r="B42" s="56" t="s">
        <v>212</v>
      </c>
      <c r="C42" s="57" t="s">
        <v>123</v>
      </c>
      <c r="D42" s="57" t="s">
        <v>213</v>
      </c>
      <c r="E42" s="57" t="s">
        <v>124</v>
      </c>
      <c r="F42" s="58" t="s">
        <v>214</v>
      </c>
    </row>
    <row r="43" customFormat="false" ht="30" hidden="false" customHeight="true" outlineLevel="0" collapsed="false">
      <c r="B43" s="56" t="s">
        <v>215</v>
      </c>
      <c r="C43" s="57" t="s">
        <v>216</v>
      </c>
      <c r="D43" s="57" t="s">
        <v>128</v>
      </c>
      <c r="E43" s="57" t="s">
        <v>129</v>
      </c>
      <c r="F43" s="58" t="s">
        <v>217</v>
      </c>
    </row>
    <row r="44" customFormat="false" ht="30" hidden="false" customHeight="true" outlineLevel="0" collapsed="false">
      <c r="B44" s="56" t="s">
        <v>218</v>
      </c>
      <c r="C44" s="57" t="s">
        <v>219</v>
      </c>
      <c r="D44" s="57" t="s">
        <v>220</v>
      </c>
      <c r="E44" s="57" t="s">
        <v>221</v>
      </c>
      <c r="F44" s="58" t="s">
        <v>222</v>
      </c>
    </row>
    <row r="45" customFormat="false" ht="30" hidden="false" customHeight="true" outlineLevel="0" collapsed="false">
      <c r="B45" s="56" t="s">
        <v>223</v>
      </c>
      <c r="C45" s="57" t="s">
        <v>128</v>
      </c>
      <c r="D45" s="57" t="s">
        <v>224</v>
      </c>
      <c r="E45" s="57" t="s">
        <v>225</v>
      </c>
      <c r="F45" s="58" t="s">
        <v>226</v>
      </c>
    </row>
    <row r="46" customFormat="false" ht="30" hidden="false" customHeight="true" outlineLevel="0" collapsed="false">
      <c r="B46" s="56" t="s">
        <v>227</v>
      </c>
      <c r="C46" s="57" t="s">
        <v>133</v>
      </c>
      <c r="D46" s="57" t="s">
        <v>133</v>
      </c>
      <c r="E46" s="57" t="s">
        <v>138</v>
      </c>
      <c r="F46" s="58" t="s">
        <v>228</v>
      </c>
    </row>
    <row r="47" customFormat="false" ht="30" hidden="false" customHeight="true" outlineLevel="0" collapsed="false">
      <c r="B47" s="56" t="s">
        <v>229</v>
      </c>
      <c r="C47" s="57" t="s">
        <v>156</v>
      </c>
      <c r="D47" s="57" t="s">
        <v>142</v>
      </c>
      <c r="E47" s="57" t="s">
        <v>230</v>
      </c>
      <c r="F47" s="58" t="s">
        <v>231</v>
      </c>
    </row>
    <row r="48" customFormat="false" ht="30" hidden="false" customHeight="true" outlineLevel="0" collapsed="false">
      <c r="B48" s="59" t="s">
        <v>146</v>
      </c>
      <c r="C48" s="60" t="s">
        <v>147</v>
      </c>
      <c r="D48" s="60" t="s">
        <v>148</v>
      </c>
      <c r="E48" s="60" t="s">
        <v>148</v>
      </c>
      <c r="F48" s="61"/>
    </row>
    <row r="50" customFormat="false" ht="21.75" hidden="false" customHeight="true" outlineLevel="0" collapsed="false">
      <c r="B50" s="53" t="s">
        <v>232</v>
      </c>
      <c r="C50" s="6"/>
      <c r="D50" s="6"/>
      <c r="E50" s="6"/>
      <c r="F50" s="6"/>
    </row>
    <row r="51" customFormat="false" ht="25.5" hidden="false" customHeight="true" outlineLevel="0" collapsed="false">
      <c r="B51" s="52" t="s">
        <v>233</v>
      </c>
      <c r="C51" s="52"/>
      <c r="D51" s="52"/>
      <c r="E51" s="52"/>
      <c r="F51" s="52"/>
    </row>
    <row r="53" customFormat="false" ht="21.75" hidden="false" customHeight="true" outlineLevel="0" collapsed="false">
      <c r="B53" s="51" t="s">
        <v>234</v>
      </c>
      <c r="C53" s="15"/>
      <c r="D53" s="15"/>
      <c r="E53" s="15"/>
      <c r="F53" s="15"/>
    </row>
    <row r="54" customFormat="false" ht="30" hidden="false" customHeight="true" outlineLevel="0" collapsed="false">
      <c r="B54" s="52" t="s">
        <v>235</v>
      </c>
      <c r="C54" s="52"/>
      <c r="D54" s="52"/>
      <c r="E54" s="52"/>
      <c r="F54" s="52"/>
    </row>
  </sheetData>
  <mergeCells count="3">
    <mergeCell ref="B8:F8"/>
    <mergeCell ref="B51:F51"/>
    <mergeCell ref="B54:F5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34A"/>
    <pageSetUpPr fitToPage="true"/>
  </sheetPr>
  <dimension ref="B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3"/>
  </cols>
  <sheetData>
    <row r="1" customFormat="false" ht="9.75" hidden="false" customHeight="true" outlineLevel="0" collapsed="false"/>
    <row r="2" customFormat="false" ht="15" hidden="false" customHeight="false" outlineLevel="0" collapsed="false">
      <c r="B2" s="18" t="s">
        <v>0</v>
      </c>
    </row>
    <row r="3" customFormat="false" ht="33.75" hidden="false" customHeight="true" outlineLevel="0" collapsed="false">
      <c r="B3" s="19" t="s">
        <v>236</v>
      </c>
    </row>
    <row r="4" customFormat="false" ht="15" hidden="false" customHeight="false" outlineLevel="0" collapsed="false">
      <c r="B4" s="20" t="s">
        <v>237</v>
      </c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4"/>
      <c r="I5" s="4"/>
      <c r="J5" s="4"/>
    </row>
    <row r="7" customFormat="false" ht="30" hidden="false" customHeight="true" outlineLevel="0" collapsed="false">
      <c r="B7" s="40" t="s">
        <v>238</v>
      </c>
      <c r="C7" s="40" t="s">
        <v>81</v>
      </c>
      <c r="D7" s="40" t="s">
        <v>42</v>
      </c>
      <c r="E7" s="40" t="s">
        <v>239</v>
      </c>
      <c r="F7" s="40" t="s">
        <v>240</v>
      </c>
      <c r="G7" s="40" t="s">
        <v>241</v>
      </c>
      <c r="H7" s="40" t="s">
        <v>242</v>
      </c>
      <c r="I7" s="40" t="s">
        <v>243</v>
      </c>
      <c r="J7" s="40" t="s">
        <v>244</v>
      </c>
    </row>
    <row r="8" customFormat="false" ht="19.5" hidden="false" customHeight="true" outlineLevel="0" collapsed="false">
      <c r="B8" s="62" t="s">
        <v>245</v>
      </c>
      <c r="C8" s="63" t="n">
        <f aca="false">IF('Mes calories'!$C$9="","",'Mes calories'!$C$9+0)</f>
        <v>46300</v>
      </c>
      <c r="D8" s="64"/>
      <c r="E8" s="64"/>
      <c r="F8" s="64"/>
      <c r="G8" s="64"/>
      <c r="H8" s="65"/>
      <c r="I8" s="66" t="str">
        <f aca="false">IF(OR(D8="",$D$8=""),"",D8-$D$8)</f>
        <v/>
      </c>
      <c r="J8" s="66" t="str">
        <f aca="false">IF(OR(E8="",$E$8=""),"",E8-$E$8)</f>
        <v/>
      </c>
    </row>
    <row r="9" customFormat="false" ht="19.5" hidden="false" customHeight="true" outlineLevel="0" collapsed="false">
      <c r="B9" s="62" t="s">
        <v>246</v>
      </c>
      <c r="C9" s="63" t="n">
        <f aca="false">IF('Mes calories'!$C$9="","",'Mes calories'!$C$9+7)</f>
        <v>46307</v>
      </c>
      <c r="D9" s="64"/>
      <c r="E9" s="64"/>
      <c r="F9" s="64"/>
      <c r="G9" s="64"/>
      <c r="H9" s="65"/>
      <c r="I9" s="66" t="str">
        <f aca="false">IF(OR(D9="",$D$8=""),"",D9-$D$8)</f>
        <v/>
      </c>
      <c r="J9" s="66" t="str">
        <f aca="false">IF(OR(E9="",$E$8=""),"",E9-$E$8)</f>
        <v/>
      </c>
    </row>
    <row r="10" customFormat="false" ht="19.5" hidden="false" customHeight="true" outlineLevel="0" collapsed="false">
      <c r="B10" s="62" t="s">
        <v>247</v>
      </c>
      <c r="C10" s="63" t="n">
        <f aca="false">IF('Mes calories'!$C$9="","",'Mes calories'!$C$9+14)</f>
        <v>46314</v>
      </c>
      <c r="D10" s="64"/>
      <c r="E10" s="64"/>
      <c r="F10" s="64"/>
      <c r="G10" s="64"/>
      <c r="H10" s="65"/>
      <c r="I10" s="66" t="str">
        <f aca="false">IF(OR(D10="",$D$8=""),"",D10-$D$8)</f>
        <v/>
      </c>
      <c r="J10" s="66" t="str">
        <f aca="false">IF(OR(E10="",$E$8=""),"",E10-$E$8)</f>
        <v/>
      </c>
    </row>
    <row r="11" customFormat="false" ht="19.5" hidden="false" customHeight="true" outlineLevel="0" collapsed="false">
      <c r="B11" s="62" t="s">
        <v>248</v>
      </c>
      <c r="C11" s="63" t="n">
        <f aca="false">IF('Mes calories'!$C$9="","",'Mes calories'!$C$9+21)</f>
        <v>46321</v>
      </c>
      <c r="D11" s="64"/>
      <c r="E11" s="64"/>
      <c r="F11" s="64"/>
      <c r="G11" s="64"/>
      <c r="H11" s="65"/>
      <c r="I11" s="66" t="str">
        <f aca="false">IF(OR(D11="",$D$8=""),"",D11-$D$8)</f>
        <v/>
      </c>
      <c r="J11" s="66" t="str">
        <f aca="false">IF(OR(E11="",$E$8=""),"",E11-$E$8)</f>
        <v/>
      </c>
    </row>
    <row r="12" customFormat="false" ht="19.5" hidden="false" customHeight="true" outlineLevel="0" collapsed="false">
      <c r="B12" s="62" t="s">
        <v>249</v>
      </c>
      <c r="C12" s="63" t="n">
        <f aca="false">IF('Mes calories'!$C$9="","",'Mes calories'!$C$9+28)</f>
        <v>46328</v>
      </c>
      <c r="D12" s="64"/>
      <c r="E12" s="64"/>
      <c r="F12" s="64"/>
      <c r="G12" s="64"/>
      <c r="H12" s="65"/>
      <c r="I12" s="66" t="str">
        <f aca="false">IF(OR(D12="",$D$8=""),"",D12-$D$8)</f>
        <v/>
      </c>
      <c r="J12" s="66" t="str">
        <f aca="false">IF(OR(E12="",$E$8=""),"",E12-$E$8)</f>
        <v/>
      </c>
    </row>
    <row r="13" customFormat="false" ht="19.5" hidden="false" customHeight="true" outlineLevel="0" collapsed="false">
      <c r="B13" s="62" t="s">
        <v>250</v>
      </c>
      <c r="C13" s="63" t="n">
        <f aca="false">IF('Mes calories'!$C$9="","",'Mes calories'!$C$9+35)</f>
        <v>46335</v>
      </c>
      <c r="D13" s="64"/>
      <c r="E13" s="64"/>
      <c r="F13" s="64"/>
      <c r="G13" s="64"/>
      <c r="H13" s="65"/>
      <c r="I13" s="66" t="str">
        <f aca="false">IF(OR(D13="",$D$8=""),"",D13-$D$8)</f>
        <v/>
      </c>
      <c r="J13" s="66" t="str">
        <f aca="false">IF(OR(E13="",$E$8=""),"",E13-$E$8)</f>
        <v/>
      </c>
    </row>
    <row r="14" customFormat="false" ht="19.5" hidden="false" customHeight="true" outlineLevel="0" collapsed="false">
      <c r="B14" s="62" t="s">
        <v>251</v>
      </c>
      <c r="C14" s="63" t="n">
        <f aca="false">IF('Mes calories'!$C$9="","",'Mes calories'!$C$9+42)</f>
        <v>46342</v>
      </c>
      <c r="D14" s="64"/>
      <c r="E14" s="64"/>
      <c r="F14" s="64"/>
      <c r="G14" s="64"/>
      <c r="H14" s="65"/>
      <c r="I14" s="66" t="str">
        <f aca="false">IF(OR(D14="",$D$8=""),"",D14-$D$8)</f>
        <v/>
      </c>
      <c r="J14" s="66" t="str">
        <f aca="false">IF(OR(E14="",$E$8=""),"",E14-$E$8)</f>
        <v/>
      </c>
    </row>
    <row r="15" customFormat="false" ht="19.5" hidden="false" customHeight="true" outlineLevel="0" collapsed="false">
      <c r="B15" s="62" t="s">
        <v>252</v>
      </c>
      <c r="C15" s="63" t="n">
        <f aca="false">IF('Mes calories'!$C$9="","",'Mes calories'!$C$9+49)</f>
        <v>46349</v>
      </c>
      <c r="D15" s="64"/>
      <c r="E15" s="64"/>
      <c r="F15" s="64"/>
      <c r="G15" s="64"/>
      <c r="H15" s="65"/>
      <c r="I15" s="66" t="str">
        <f aca="false">IF(OR(D15="",$D$8=""),"",D15-$D$8)</f>
        <v/>
      </c>
      <c r="J15" s="66" t="str">
        <f aca="false">IF(OR(E15="",$E$8=""),"",E15-$E$8)</f>
        <v/>
      </c>
    </row>
    <row r="16" customFormat="false" ht="19.5" hidden="false" customHeight="true" outlineLevel="0" collapsed="false">
      <c r="B16" s="62" t="s">
        <v>253</v>
      </c>
      <c r="C16" s="63" t="n">
        <f aca="false">IF('Mes calories'!$C$9="","",'Mes calories'!$C$9+56)</f>
        <v>46356</v>
      </c>
      <c r="D16" s="64"/>
      <c r="E16" s="64"/>
      <c r="F16" s="64"/>
      <c r="G16" s="64"/>
      <c r="H16" s="65"/>
      <c r="I16" s="66" t="str">
        <f aca="false">IF(OR(D16="",$D$8=""),"",D16-$D$8)</f>
        <v/>
      </c>
      <c r="J16" s="66" t="str">
        <f aca="false">IF(OR(E16="",$E$8=""),"",E16-$E$8)</f>
        <v/>
      </c>
    </row>
    <row r="18" customFormat="false" ht="30" hidden="false" customHeight="true" outlineLevel="0" collapsed="false">
      <c r="B18" s="67" t="s">
        <v>254</v>
      </c>
      <c r="C18" s="67"/>
      <c r="D18" s="67"/>
      <c r="E18" s="67"/>
      <c r="F18" s="67"/>
      <c r="G18" s="67"/>
      <c r="H18" s="67"/>
      <c r="I18" s="67"/>
      <c r="J18" s="67"/>
    </row>
  </sheetData>
  <mergeCells count="1">
    <mergeCell ref="B18:J18"/>
  </mergeCells>
  <dataValidations count="1">
    <dataValidation allowBlank="true" errorStyle="stop" operator="between" showDropDown="false" showErrorMessage="false" showInputMessage="false" sqref="H8:H16" type="whole">
      <formula1>1</formula1>
      <formula2>10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2D"/>
    <pageSetUpPr fitToPage="true"/>
  </sheetPr>
  <dimension ref="B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9.75" hidden="false" customHeight="true" outlineLevel="0" collapsed="false"/>
    <row r="2" customFormat="false" ht="15" hidden="false" customHeight="false" outlineLevel="0" collapsed="false">
      <c r="B2" s="18" t="s">
        <v>0</v>
      </c>
    </row>
    <row r="3" customFormat="false" ht="33.75" hidden="false" customHeight="true" outlineLevel="0" collapsed="false">
      <c r="B3" s="19" t="s">
        <v>255</v>
      </c>
    </row>
    <row r="4" customFormat="false" ht="15" hidden="false" customHeight="false" outlineLevel="0" collapsed="false">
      <c r="B4" s="20" t="s">
        <v>256</v>
      </c>
    </row>
    <row r="5" customFormat="false" ht="15" hidden="false" customHeight="false" outlineLevel="0" collapsed="false">
      <c r="B5" s="4"/>
      <c r="C5" s="4"/>
      <c r="D5" s="4"/>
      <c r="E5" s="4"/>
      <c r="F5" s="4"/>
    </row>
    <row r="7" customFormat="false" ht="15" hidden="false" customHeight="false" outlineLevel="0" collapsed="false">
      <c r="B7" s="68" t="s">
        <v>257</v>
      </c>
      <c r="C7" s="68" t="s">
        <v>258</v>
      </c>
      <c r="D7" s="69"/>
      <c r="E7" s="69" t="s">
        <v>53</v>
      </c>
      <c r="F7" s="69" t="s">
        <v>259</v>
      </c>
    </row>
    <row r="8" customFormat="false" ht="19.5" hidden="false" customHeight="true" outlineLevel="0" collapsed="false">
      <c r="B8" s="21" t="s">
        <v>260</v>
      </c>
      <c r="C8" s="70" t="s">
        <v>261</v>
      </c>
      <c r="D8" s="70"/>
      <c r="E8" s="71" t="n">
        <f aca="false">IFERROR(INDEX($E$21:$E$45,MATCH(C8,$C$21:$C$45,0)),0)</f>
        <v>280</v>
      </c>
      <c r="F8" s="71" t="n">
        <f aca="false">IFERROR(INDEX($F$21:$F$45,MATCH(C8,$C$21:$C$45,0)),0)</f>
        <v>22</v>
      </c>
    </row>
    <row r="9" customFormat="false" ht="19.5" hidden="false" customHeight="true" outlineLevel="0" collapsed="false">
      <c r="B9" s="21" t="s">
        <v>262</v>
      </c>
      <c r="C9" s="70" t="s">
        <v>263</v>
      </c>
      <c r="D9" s="70"/>
      <c r="E9" s="71" t="n">
        <f aca="false">IFERROR(INDEX($E$21:$E$45,MATCH(C9,$C$21:$C$45,0)),0)</f>
        <v>545</v>
      </c>
      <c r="F9" s="71" t="n">
        <f aca="false">IFERROR(INDEX($F$21:$F$45,MATCH(C9,$C$21:$C$45,0)),0)</f>
        <v>42</v>
      </c>
    </row>
    <row r="10" customFormat="false" ht="19.5" hidden="false" customHeight="true" outlineLevel="0" collapsed="false">
      <c r="B10" s="21" t="s">
        <v>264</v>
      </c>
      <c r="C10" s="70" t="s">
        <v>265</v>
      </c>
      <c r="D10" s="70"/>
      <c r="E10" s="71" t="n">
        <f aca="false">IFERROR(INDEX($E$21:$E$45,MATCH(C10,$C$21:$C$45,0)),0)</f>
        <v>410</v>
      </c>
      <c r="F10" s="71" t="n">
        <f aca="false">IFERROR(INDEX($F$21:$F$45,MATCH(C10,$C$21:$C$45,0)),0)</f>
        <v>40</v>
      </c>
    </row>
    <row r="11" customFormat="false" ht="19.5" hidden="false" customHeight="true" outlineLevel="0" collapsed="false">
      <c r="B11" s="21" t="s">
        <v>266</v>
      </c>
      <c r="C11" s="70" t="s">
        <v>267</v>
      </c>
      <c r="D11" s="70"/>
      <c r="E11" s="71" t="n">
        <f aca="false">IFERROR(INDEX($E$21:$E$45,MATCH(C11,$C$21:$C$45,0)),0)</f>
        <v>175</v>
      </c>
      <c r="F11" s="71" t="n">
        <f aca="false">IFERROR(INDEX($F$21:$F$45,MATCH(C11,$C$21:$C$45,0)),0)</f>
        <v>16</v>
      </c>
    </row>
    <row r="12" customFormat="false" ht="19.5" hidden="false" customHeight="true" outlineLevel="0" collapsed="false">
      <c r="B12" s="21" t="s">
        <v>268</v>
      </c>
      <c r="C12" s="70" t="s">
        <v>269</v>
      </c>
      <c r="D12" s="70"/>
      <c r="E12" s="71" t="n">
        <f aca="false">IFERROR(INDEX($E$21:$E$45,MATCH(C12,$C$21:$C$45,0)),0)</f>
        <v>0</v>
      </c>
      <c r="F12" s="71" t="n">
        <f aca="false">IFERROR(INDEX($F$21:$F$45,MATCH(C12,$C$21:$C$45,0)),0)</f>
        <v>0</v>
      </c>
    </row>
    <row r="13" customFormat="false" ht="15" hidden="false" customHeight="false" outlineLevel="0" collapsed="false">
      <c r="B13" s="72" t="s">
        <v>270</v>
      </c>
      <c r="C13" s="73"/>
      <c r="D13" s="73"/>
      <c r="E13" s="74" t="n">
        <f aca="false">SUM(E8:E12)</f>
        <v>1410</v>
      </c>
      <c r="F13" s="74" t="n">
        <f aca="false">SUM(F8:F12)</f>
        <v>120</v>
      </c>
    </row>
    <row r="14" customFormat="false" ht="15" hidden="false" customHeight="false" outlineLevel="0" collapsed="false">
      <c r="B14" s="72" t="s">
        <v>271</v>
      </c>
      <c r="C14" s="73"/>
      <c r="D14" s="73"/>
      <c r="E14" s="74" t="n">
        <f aca="false">'Mes calories'!C19</f>
        <v>1660</v>
      </c>
      <c r="F14" s="74" t="n">
        <f aca="false">'Mes calories'!C20</f>
        <v>130</v>
      </c>
    </row>
    <row r="15" customFormat="false" ht="15" hidden="false" customHeight="false" outlineLevel="0" collapsed="false">
      <c r="B15" s="75" t="s">
        <v>272</v>
      </c>
      <c r="C15" s="73"/>
      <c r="D15" s="73"/>
      <c r="E15" s="76" t="n">
        <f aca="false">IF(E14="","",E14-E13)</f>
        <v>250</v>
      </c>
      <c r="F15" s="76" t="n">
        <f aca="false">IF(F14="","",F14-F13)</f>
        <v>10</v>
      </c>
    </row>
    <row r="17" customFormat="false" ht="15" hidden="false" customHeight="false" outlineLevel="0" collapsed="false">
      <c r="B17" s="24" t="s">
        <v>273</v>
      </c>
    </row>
    <row r="19" customFormat="false" ht="21.75" hidden="false" customHeight="true" outlineLevel="0" collapsed="false">
      <c r="B19" s="5" t="s">
        <v>274</v>
      </c>
      <c r="C19" s="6"/>
      <c r="D19" s="6"/>
      <c r="E19" s="6"/>
      <c r="F19" s="6"/>
    </row>
    <row r="20" customFormat="false" ht="15" hidden="false" customHeight="false" outlineLevel="0" collapsed="false">
      <c r="B20" s="77" t="s">
        <v>275</v>
      </c>
      <c r="C20" s="77" t="s">
        <v>276</v>
      </c>
      <c r="D20" s="77" t="s">
        <v>277</v>
      </c>
      <c r="E20" s="78" t="s">
        <v>53</v>
      </c>
      <c r="F20" s="78" t="s">
        <v>259</v>
      </c>
    </row>
    <row r="21" customFormat="false" ht="15" hidden="false" customHeight="false" outlineLevel="0" collapsed="false">
      <c r="B21" s="79"/>
      <c r="C21" s="79" t="s">
        <v>269</v>
      </c>
      <c r="D21" s="79"/>
      <c r="E21" s="79" t="n">
        <v>0</v>
      </c>
      <c r="F21" s="79" t="n">
        <v>0</v>
      </c>
    </row>
    <row r="22" customFormat="false" ht="25.5" hidden="false" customHeight="true" outlineLevel="0" collapsed="false">
      <c r="B22" s="80" t="s">
        <v>260</v>
      </c>
      <c r="C22" s="81" t="s">
        <v>261</v>
      </c>
      <c r="D22" s="82" t="s">
        <v>278</v>
      </c>
      <c r="E22" s="83" t="n">
        <v>280</v>
      </c>
      <c r="F22" s="83" t="n">
        <v>22</v>
      </c>
    </row>
    <row r="23" customFormat="false" ht="25.5" hidden="false" customHeight="true" outlineLevel="0" collapsed="false">
      <c r="B23" s="80" t="s">
        <v>260</v>
      </c>
      <c r="C23" s="81" t="s">
        <v>279</v>
      </c>
      <c r="D23" s="82" t="s">
        <v>280</v>
      </c>
      <c r="E23" s="83" t="n">
        <v>370</v>
      </c>
      <c r="F23" s="83" t="n">
        <v>18</v>
      </c>
    </row>
    <row r="24" customFormat="false" ht="25.5" hidden="false" customHeight="true" outlineLevel="0" collapsed="false">
      <c r="B24" s="80" t="s">
        <v>260</v>
      </c>
      <c r="C24" s="81" t="s">
        <v>281</v>
      </c>
      <c r="D24" s="82" t="s">
        <v>282</v>
      </c>
      <c r="E24" s="83" t="n">
        <v>340</v>
      </c>
      <c r="F24" s="83" t="n">
        <v>15</v>
      </c>
    </row>
    <row r="25" customFormat="false" ht="25.5" hidden="false" customHeight="true" outlineLevel="0" collapsed="false">
      <c r="B25" s="80" t="s">
        <v>260</v>
      </c>
      <c r="C25" s="81" t="s">
        <v>283</v>
      </c>
      <c r="D25" s="82" t="s">
        <v>284</v>
      </c>
      <c r="E25" s="83" t="n">
        <v>320</v>
      </c>
      <c r="F25" s="83" t="n">
        <v>24</v>
      </c>
    </row>
    <row r="26" customFormat="false" ht="25.5" hidden="false" customHeight="true" outlineLevel="0" collapsed="false">
      <c r="B26" s="80" t="s">
        <v>260</v>
      </c>
      <c r="C26" s="81" t="s">
        <v>285</v>
      </c>
      <c r="D26" s="82" t="s">
        <v>286</v>
      </c>
      <c r="E26" s="83" t="n">
        <v>345</v>
      </c>
      <c r="F26" s="83" t="n">
        <v>30</v>
      </c>
    </row>
    <row r="27" customFormat="false" ht="25.5" hidden="false" customHeight="true" outlineLevel="0" collapsed="false">
      <c r="B27" s="80" t="s">
        <v>260</v>
      </c>
      <c r="C27" s="81" t="s">
        <v>287</v>
      </c>
      <c r="D27" s="82" t="s">
        <v>288</v>
      </c>
      <c r="E27" s="83" t="n">
        <v>285</v>
      </c>
      <c r="F27" s="83" t="n">
        <v>12</v>
      </c>
    </row>
    <row r="28" customFormat="false" ht="25.5" hidden="false" customHeight="true" outlineLevel="0" collapsed="false">
      <c r="B28" s="84" t="s">
        <v>262</v>
      </c>
      <c r="C28" s="85" t="s">
        <v>263</v>
      </c>
      <c r="D28" s="86" t="s">
        <v>289</v>
      </c>
      <c r="E28" s="87" t="n">
        <v>545</v>
      </c>
      <c r="F28" s="87" t="n">
        <v>42</v>
      </c>
    </row>
    <row r="29" customFormat="false" ht="25.5" hidden="false" customHeight="true" outlineLevel="0" collapsed="false">
      <c r="B29" s="84" t="s">
        <v>262</v>
      </c>
      <c r="C29" s="85" t="s">
        <v>290</v>
      </c>
      <c r="D29" s="86" t="s">
        <v>291</v>
      </c>
      <c r="E29" s="87" t="n">
        <v>430</v>
      </c>
      <c r="F29" s="87" t="n">
        <v>34</v>
      </c>
    </row>
    <row r="30" customFormat="false" ht="25.5" hidden="false" customHeight="true" outlineLevel="0" collapsed="false">
      <c r="B30" s="84" t="s">
        <v>262</v>
      </c>
      <c r="C30" s="85" t="s">
        <v>292</v>
      </c>
      <c r="D30" s="86" t="s">
        <v>293</v>
      </c>
      <c r="E30" s="87" t="n">
        <v>310</v>
      </c>
      <c r="F30" s="87" t="n">
        <v>25</v>
      </c>
    </row>
    <row r="31" customFormat="false" ht="25.5" hidden="false" customHeight="true" outlineLevel="0" collapsed="false">
      <c r="B31" s="84" t="s">
        <v>262</v>
      </c>
      <c r="C31" s="85" t="s">
        <v>294</v>
      </c>
      <c r="D31" s="86" t="s">
        <v>295</v>
      </c>
      <c r="E31" s="87" t="n">
        <v>480</v>
      </c>
      <c r="F31" s="87" t="n">
        <v>31</v>
      </c>
    </row>
    <row r="32" customFormat="false" ht="25.5" hidden="false" customHeight="true" outlineLevel="0" collapsed="false">
      <c r="B32" s="84" t="s">
        <v>262</v>
      </c>
      <c r="C32" s="85" t="s">
        <v>296</v>
      </c>
      <c r="D32" s="86" t="s">
        <v>297</v>
      </c>
      <c r="E32" s="87" t="n">
        <v>535</v>
      </c>
      <c r="F32" s="87" t="n">
        <v>23</v>
      </c>
    </row>
    <row r="33" customFormat="false" ht="25.5" hidden="false" customHeight="true" outlineLevel="0" collapsed="false">
      <c r="B33" s="84" t="s">
        <v>262</v>
      </c>
      <c r="C33" s="85" t="s">
        <v>298</v>
      </c>
      <c r="D33" s="86" t="s">
        <v>299</v>
      </c>
      <c r="E33" s="87" t="n">
        <v>350</v>
      </c>
      <c r="F33" s="87" t="n">
        <v>23</v>
      </c>
    </row>
    <row r="34" customFormat="false" ht="25.5" hidden="false" customHeight="true" outlineLevel="0" collapsed="false">
      <c r="B34" s="80" t="s">
        <v>264</v>
      </c>
      <c r="C34" s="81" t="s">
        <v>300</v>
      </c>
      <c r="D34" s="82" t="s">
        <v>301</v>
      </c>
      <c r="E34" s="83" t="n">
        <v>380</v>
      </c>
      <c r="F34" s="83" t="n">
        <v>34</v>
      </c>
    </row>
    <row r="35" customFormat="false" ht="25.5" hidden="false" customHeight="true" outlineLevel="0" collapsed="false">
      <c r="B35" s="80" t="s">
        <v>264</v>
      </c>
      <c r="C35" s="81" t="s">
        <v>265</v>
      </c>
      <c r="D35" s="82" t="s">
        <v>302</v>
      </c>
      <c r="E35" s="83" t="n">
        <v>410</v>
      </c>
      <c r="F35" s="83" t="n">
        <v>40</v>
      </c>
    </row>
    <row r="36" customFormat="false" ht="25.5" hidden="false" customHeight="true" outlineLevel="0" collapsed="false">
      <c r="B36" s="80" t="s">
        <v>264</v>
      </c>
      <c r="C36" s="81" t="s">
        <v>303</v>
      </c>
      <c r="D36" s="82" t="s">
        <v>304</v>
      </c>
      <c r="E36" s="83" t="n">
        <v>340</v>
      </c>
      <c r="F36" s="83" t="n">
        <v>19</v>
      </c>
    </row>
    <row r="37" customFormat="false" ht="25.5" hidden="false" customHeight="true" outlineLevel="0" collapsed="false">
      <c r="B37" s="80" t="s">
        <v>264</v>
      </c>
      <c r="C37" s="81" t="s">
        <v>305</v>
      </c>
      <c r="D37" s="82" t="s">
        <v>306</v>
      </c>
      <c r="E37" s="83" t="n">
        <v>480</v>
      </c>
      <c r="F37" s="83" t="n">
        <v>35</v>
      </c>
    </row>
    <row r="38" customFormat="false" ht="25.5" hidden="false" customHeight="true" outlineLevel="0" collapsed="false">
      <c r="B38" s="80" t="s">
        <v>264</v>
      </c>
      <c r="C38" s="81" t="s">
        <v>307</v>
      </c>
      <c r="D38" s="82" t="s">
        <v>308</v>
      </c>
      <c r="E38" s="83" t="n">
        <v>330</v>
      </c>
      <c r="F38" s="83" t="n">
        <v>18</v>
      </c>
    </row>
    <row r="39" customFormat="false" ht="25.5" hidden="false" customHeight="true" outlineLevel="0" collapsed="false">
      <c r="B39" s="80" t="s">
        <v>264</v>
      </c>
      <c r="C39" s="81" t="s">
        <v>309</v>
      </c>
      <c r="D39" s="82" t="s">
        <v>310</v>
      </c>
      <c r="E39" s="83" t="n">
        <v>375</v>
      </c>
      <c r="F39" s="83" t="n">
        <v>29</v>
      </c>
    </row>
    <row r="40" customFormat="false" ht="25.5" hidden="false" customHeight="true" outlineLevel="0" collapsed="false">
      <c r="B40" s="84" t="s">
        <v>311</v>
      </c>
      <c r="C40" s="85" t="s">
        <v>267</v>
      </c>
      <c r="D40" s="86" t="s">
        <v>312</v>
      </c>
      <c r="E40" s="87" t="n">
        <v>175</v>
      </c>
      <c r="F40" s="87" t="n">
        <v>16</v>
      </c>
    </row>
    <row r="41" customFormat="false" ht="25.5" hidden="false" customHeight="true" outlineLevel="0" collapsed="false">
      <c r="B41" s="84" t="s">
        <v>311</v>
      </c>
      <c r="C41" s="85" t="s">
        <v>313</v>
      </c>
      <c r="D41" s="86" t="s">
        <v>314</v>
      </c>
      <c r="E41" s="87" t="n">
        <v>170</v>
      </c>
      <c r="F41" s="87" t="n">
        <v>4</v>
      </c>
    </row>
    <row r="42" customFormat="false" ht="25.5" hidden="false" customHeight="true" outlineLevel="0" collapsed="false">
      <c r="B42" s="84" t="s">
        <v>311</v>
      </c>
      <c r="C42" s="85" t="s">
        <v>315</v>
      </c>
      <c r="D42" s="86" t="s">
        <v>316</v>
      </c>
      <c r="E42" s="87" t="n">
        <v>175</v>
      </c>
      <c r="F42" s="87" t="n">
        <v>6</v>
      </c>
    </row>
    <row r="43" customFormat="false" ht="25.5" hidden="false" customHeight="true" outlineLevel="0" collapsed="false">
      <c r="B43" s="84" t="s">
        <v>311</v>
      </c>
      <c r="C43" s="85" t="s">
        <v>317</v>
      </c>
      <c r="D43" s="86" t="s">
        <v>318</v>
      </c>
      <c r="E43" s="87" t="n">
        <v>150</v>
      </c>
      <c r="F43" s="87" t="n">
        <v>4</v>
      </c>
    </row>
    <row r="44" customFormat="false" ht="25.5" hidden="false" customHeight="true" outlineLevel="0" collapsed="false">
      <c r="B44" s="84" t="s">
        <v>311</v>
      </c>
      <c r="C44" s="85" t="s">
        <v>319</v>
      </c>
      <c r="D44" s="86" t="s">
        <v>320</v>
      </c>
      <c r="E44" s="87" t="n">
        <v>115</v>
      </c>
      <c r="F44" s="87" t="n">
        <v>24</v>
      </c>
    </row>
    <row r="45" customFormat="false" ht="25.5" hidden="false" customHeight="true" outlineLevel="0" collapsed="false">
      <c r="B45" s="84" t="s">
        <v>311</v>
      </c>
      <c r="C45" s="85" t="s">
        <v>321</v>
      </c>
      <c r="D45" s="86" t="s">
        <v>322</v>
      </c>
      <c r="E45" s="87" t="n">
        <v>130</v>
      </c>
      <c r="F45" s="87" t="n">
        <v>12</v>
      </c>
    </row>
  </sheetData>
  <mergeCells count="5">
    <mergeCell ref="C8:D8"/>
    <mergeCell ref="C9:D9"/>
    <mergeCell ref="C10:D10"/>
    <mergeCell ref="C11:D11"/>
    <mergeCell ref="C12:D12"/>
  </mergeCells>
  <conditionalFormatting sqref="E15">
    <cfRule type="expression" priority="2" aboveAverage="0" equalAverage="0" bottom="0" percent="0" rank="0" text="" dxfId="1">
      <formula>AND(ISNUMBER(E15),E15&lt;0)</formula>
    </cfRule>
    <cfRule type="expression" priority="3" aboveAverage="0" equalAverage="0" bottom="0" percent="0" rank="0" text="" dxfId="2">
      <formula>AND(ISNUMBER(E15),E15&gt;=0)</formula>
    </cfRule>
  </conditionalFormatting>
  <dataValidations count="5">
    <dataValidation allowBlank="true" errorStyle="stop" operator="between" showDropDown="false" showErrorMessage="false" showInputMessage="false" sqref="C8" type="list">
      <formula1>Listes!$P$3:$P$9</formula1>
      <formula2>0</formula2>
    </dataValidation>
    <dataValidation allowBlank="true" errorStyle="stop" operator="between" showDropDown="false" showErrorMessage="false" showInputMessage="false" sqref="C9" type="list">
      <formula1>Listes!$Q$3:$Q$9</formula1>
      <formula2>0</formula2>
    </dataValidation>
    <dataValidation allowBlank="true" errorStyle="stop" operator="between" showDropDown="false" showErrorMessage="false" showInputMessage="false" sqref="C10" type="list">
      <formula1>Listes!$R$3:$R$9</formula1>
      <formula2>0</formula2>
    </dataValidation>
    <dataValidation allowBlank="true" errorStyle="stop" operator="between" showDropDown="false" showErrorMessage="false" showInputMessage="false" sqref="C11" type="list">
      <formula1>Listes!$S$3:$S$9</formula1>
      <formula2>0</formula2>
    </dataValidation>
    <dataValidation allowBlank="true" errorStyle="stop" operator="between" showDropDown="false" showErrorMessage="false" showInputMessage="false" sqref="C12" type="list">
      <formula1>Listes!$S$3:$S$9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34A"/>
    <pageSetUpPr fitToPage="true"/>
  </sheetPr>
  <dimension ref="B2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" t="s">
        <v>0</v>
      </c>
    </row>
    <row r="3" customFormat="false" ht="39.75" hidden="false" customHeight="true" outlineLevel="0" collapsed="false">
      <c r="B3" s="2" t="s">
        <v>323</v>
      </c>
    </row>
    <row r="5" customFormat="false" ht="25.5" hidden="false" customHeight="true" outlineLevel="0" collapsed="false">
      <c r="B5" s="88" t="s">
        <v>324</v>
      </c>
    </row>
    <row r="6" customFormat="false" ht="36" hidden="false" customHeight="true" outlineLevel="0" collapsed="false">
      <c r="B6" s="89" t="s">
        <v>325</v>
      </c>
    </row>
    <row r="8" customFormat="false" ht="25.5" hidden="false" customHeight="true" outlineLevel="0" collapsed="false">
      <c r="B8" s="88" t="s">
        <v>326</v>
      </c>
    </row>
    <row r="9" customFormat="false" ht="36" hidden="false" customHeight="true" outlineLevel="0" collapsed="false">
      <c r="B9" s="89" t="s">
        <v>327</v>
      </c>
    </row>
    <row r="11" customFormat="false" ht="25.5" hidden="false" customHeight="true" outlineLevel="0" collapsed="false">
      <c r="B11" s="90" t="s">
        <v>328</v>
      </c>
    </row>
    <row r="12" customFormat="false" ht="36" hidden="false" customHeight="true" outlineLevel="0" collapsed="false">
      <c r="B12" s="91" t="s">
        <v>329</v>
      </c>
    </row>
    <row r="14" customFormat="false" ht="25.5" hidden="false" customHeight="true" outlineLevel="0" collapsed="false">
      <c r="B14" s="88" t="s">
        <v>330</v>
      </c>
    </row>
    <row r="15" customFormat="false" ht="36" hidden="false" customHeight="true" outlineLevel="0" collapsed="false">
      <c r="B15" s="92" t="s">
        <v>331</v>
      </c>
    </row>
  </sheetData>
  <hyperlinks>
    <hyperlink ref="B12" r:id="rId1" display="ornellafitcoaching.com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8A"/>
    <pageSetUpPr fitToPage="true"/>
  </sheetPr>
  <dimension ref="B2:S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</cols>
  <sheetData>
    <row r="2" customFormat="false" ht="15" hidden="false" customHeight="false" outlineLevel="0" collapsed="false">
      <c r="B2" s="0" t="s">
        <v>332</v>
      </c>
      <c r="C2" s="0" t="s">
        <v>333</v>
      </c>
      <c r="E2" s="0" t="s">
        <v>334</v>
      </c>
      <c r="F2" s="0" t="s">
        <v>335</v>
      </c>
      <c r="H2" s="0" t="s">
        <v>336</v>
      </c>
      <c r="I2" s="0" t="s">
        <v>337</v>
      </c>
      <c r="J2" s="0" t="s">
        <v>338</v>
      </c>
      <c r="K2" s="0" t="s">
        <v>339</v>
      </c>
      <c r="P2" s="0" t="s">
        <v>340</v>
      </c>
      <c r="Q2" s="0" t="s">
        <v>341</v>
      </c>
      <c r="R2" s="0" t="s">
        <v>342</v>
      </c>
      <c r="S2" s="0" t="s">
        <v>343</v>
      </c>
    </row>
    <row r="3" customFormat="false" ht="15" hidden="false" customHeight="false" outlineLevel="0" collapsed="false">
      <c r="B3" s="0" t="s">
        <v>344</v>
      </c>
      <c r="C3" s="0" t="n">
        <v>1.2</v>
      </c>
      <c r="E3" s="0" t="s">
        <v>345</v>
      </c>
      <c r="F3" s="0" t="n">
        <v>0.1</v>
      </c>
      <c r="H3" s="0" t="n">
        <f aca="false">'Mes calories'!C11</f>
        <v>72</v>
      </c>
      <c r="I3" s="0" t="n">
        <f aca="false">'Mes calories'!C12</f>
        <v>165</v>
      </c>
      <c r="J3" s="0" t="s">
        <v>43</v>
      </c>
      <c r="K3" s="0" t="s">
        <v>45</v>
      </c>
      <c r="P3" s="0" t="s">
        <v>269</v>
      </c>
      <c r="Q3" s="0" t="s">
        <v>269</v>
      </c>
      <c r="R3" s="0" t="s">
        <v>269</v>
      </c>
      <c r="S3" s="0" t="s">
        <v>269</v>
      </c>
    </row>
    <row r="4" customFormat="false" ht="15" hidden="false" customHeight="false" outlineLevel="0" collapsed="false">
      <c r="B4" s="0" t="s">
        <v>47</v>
      </c>
      <c r="C4" s="0" t="n">
        <v>1.375</v>
      </c>
      <c r="E4" s="0" t="s">
        <v>50</v>
      </c>
      <c r="F4" s="0" t="n">
        <v>0.15</v>
      </c>
      <c r="P4" s="0" t="s">
        <v>261</v>
      </c>
      <c r="Q4" s="0" t="s">
        <v>263</v>
      </c>
      <c r="R4" s="0" t="s">
        <v>300</v>
      </c>
      <c r="S4" s="0" t="s">
        <v>267</v>
      </c>
    </row>
    <row r="5" customFormat="false" ht="15" hidden="false" customHeight="false" outlineLevel="0" collapsed="false">
      <c r="B5" s="0" t="s">
        <v>346</v>
      </c>
      <c r="C5" s="0" t="n">
        <v>1.55</v>
      </c>
      <c r="E5" s="0" t="s">
        <v>347</v>
      </c>
      <c r="F5" s="0" t="n">
        <v>0.2</v>
      </c>
      <c r="P5" s="0" t="s">
        <v>279</v>
      </c>
      <c r="Q5" s="0" t="s">
        <v>290</v>
      </c>
      <c r="R5" s="0" t="s">
        <v>265</v>
      </c>
      <c r="S5" s="0" t="s">
        <v>313</v>
      </c>
    </row>
    <row r="6" customFormat="false" ht="15" hidden="false" customHeight="false" outlineLevel="0" collapsed="false">
      <c r="B6" s="0" t="s">
        <v>348</v>
      </c>
      <c r="C6" s="0" t="n">
        <v>1.725</v>
      </c>
      <c r="E6" s="0" t="s">
        <v>349</v>
      </c>
      <c r="F6" s="0" t="n">
        <v>0</v>
      </c>
      <c r="P6" s="0" t="s">
        <v>281</v>
      </c>
      <c r="Q6" s="0" t="s">
        <v>292</v>
      </c>
      <c r="R6" s="0" t="s">
        <v>303</v>
      </c>
      <c r="S6" s="0" t="s">
        <v>315</v>
      </c>
    </row>
    <row r="7" customFormat="false" ht="15" hidden="false" customHeight="false" outlineLevel="0" collapsed="false">
      <c r="P7" s="0" t="s">
        <v>283</v>
      </c>
      <c r="Q7" s="0" t="s">
        <v>294</v>
      </c>
      <c r="R7" s="0" t="s">
        <v>305</v>
      </c>
      <c r="S7" s="0" t="s">
        <v>317</v>
      </c>
    </row>
    <row r="8" customFormat="false" ht="15" hidden="false" customHeight="false" outlineLevel="0" collapsed="false">
      <c r="P8" s="0" t="s">
        <v>285</v>
      </c>
      <c r="Q8" s="0" t="s">
        <v>296</v>
      </c>
      <c r="R8" s="0" t="s">
        <v>307</v>
      </c>
      <c r="S8" s="0" t="s">
        <v>319</v>
      </c>
    </row>
    <row r="9" customFormat="false" ht="15" hidden="false" customHeight="false" outlineLevel="0" collapsed="false">
      <c r="P9" s="0" t="s">
        <v>287</v>
      </c>
      <c r="Q9" s="0" t="s">
        <v>298</v>
      </c>
      <c r="R9" s="0" t="s">
        <v>309</v>
      </c>
      <c r="S9" s="0" t="s">
        <v>321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2026-09-23T13:54:35Z</dcterms:created>
  <dc:creator>openpyxl</dc:creator>
  <dc:description/>
  <dc:language>en-US</dc:language>
  <cp:lastModifiedBy/>
  <dcterms:modified xsi:type="dcterms:W3CDTF">2026-09-23T15:54:39Z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